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3040" windowHeight="952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H41" i="1"/>
  <c r="H43" i="1" s="1"/>
  <c r="H45" i="1"/>
  <c r="M37" i="1"/>
  <c r="M36" i="1"/>
  <c r="M35" i="1"/>
  <c r="M34" i="1"/>
  <c r="L34" i="1"/>
  <c r="L35" i="1"/>
  <c r="L36" i="1"/>
  <c r="L37" i="1"/>
  <c r="L33" i="1"/>
  <c r="K34" i="1"/>
  <c r="K35" i="1"/>
  <c r="K36" i="1"/>
  <c r="K37" i="1"/>
  <c r="K33" i="1"/>
  <c r="J33" i="1" a="1"/>
  <c r="J33" i="1" s="1"/>
  <c r="I37" i="1"/>
  <c r="I34" i="1"/>
  <c r="I35" i="1" s="1"/>
  <c r="I36" i="1" s="1"/>
  <c r="I33" i="1"/>
  <c r="G34" i="1"/>
  <c r="G35" i="1" s="1"/>
  <c r="G36" i="1" s="1"/>
  <c r="G37" i="1" s="1"/>
  <c r="I7" i="1"/>
  <c r="K26" i="1"/>
  <c r="I27" i="1"/>
  <c r="G27" i="1"/>
  <c r="G28" i="1" s="1"/>
  <c r="K19" i="1"/>
  <c r="I20" i="1"/>
  <c r="I21" i="1" s="1"/>
  <c r="G20" i="1"/>
  <c r="G21" i="1" s="1"/>
  <c r="G22" i="1" s="1"/>
  <c r="G23" i="1" s="1"/>
  <c r="H8" i="1"/>
  <c r="J7" i="1"/>
  <c r="H12" i="1"/>
  <c r="H9" i="1"/>
  <c r="H5" i="1"/>
  <c r="H4" i="1"/>
  <c r="H6" i="1" l="1"/>
  <c r="H46" i="1"/>
  <c r="H44" i="1"/>
  <c r="J36" i="1"/>
  <c r="J35" i="1"/>
  <c r="J34" i="1"/>
  <c r="J37" i="1"/>
  <c r="G29" i="1"/>
  <c r="I22" i="1"/>
  <c r="I23" i="1" s="1"/>
  <c r="K23" i="1" s="1"/>
  <c r="K21" i="1"/>
  <c r="K20" i="1"/>
  <c r="I28" i="1"/>
  <c r="I29" i="1" s="1"/>
  <c r="I30" i="1" s="1"/>
  <c r="K27" i="1"/>
  <c r="J19" i="1" a="1"/>
  <c r="J19" i="1" s="1"/>
  <c r="L19" i="1" s="1"/>
  <c r="H49" i="1" l="1"/>
  <c r="H50" i="1" s="1"/>
  <c r="K22" i="1"/>
  <c r="M19" i="1"/>
  <c r="K28" i="1"/>
  <c r="J23" i="1"/>
  <c r="L23" i="1" s="1"/>
  <c r="J26" i="1" a="1"/>
  <c r="J20" i="1"/>
  <c r="J21" i="1"/>
  <c r="J22" i="1"/>
  <c r="G30" i="1"/>
  <c r="K30" i="1" s="1"/>
  <c r="K29" i="1"/>
  <c r="H51" i="1" l="1"/>
  <c r="J26" i="1"/>
  <c r="J27" i="1"/>
  <c r="L27" i="1" s="1"/>
  <c r="J28" i="1"/>
  <c r="L28" i="1" s="1"/>
  <c r="J30" i="1"/>
  <c r="L30" i="1" s="1"/>
  <c r="J29" i="1"/>
  <c r="L29" i="1" s="1"/>
  <c r="M22" i="1"/>
  <c r="L21" i="1"/>
  <c r="L20" i="1"/>
  <c r="M21" i="1"/>
  <c r="M20" i="1"/>
  <c r="L22" i="1"/>
  <c r="M23" i="1"/>
  <c r="M26" i="1" l="1"/>
  <c r="M27" i="1" s="1"/>
  <c r="M28" i="1" s="1"/>
  <c r="M29" i="1" s="1"/>
  <c r="M30" i="1" s="1"/>
  <c r="L26" i="1"/>
</calcChain>
</file>

<file path=xl/sharedStrings.xml><?xml version="1.0" encoding="utf-8"?>
<sst xmlns="http://schemas.openxmlformats.org/spreadsheetml/2006/main" count="692" uniqueCount="35">
  <si>
    <t>Pred_class</t>
  </si>
  <si>
    <t>probabilidade</t>
  </si>
  <si>
    <t>status</t>
  </si>
  <si>
    <t>True_class</t>
  </si>
  <si>
    <t>approved</t>
  </si>
  <si>
    <t>revision</t>
  </si>
  <si>
    <t>MAXIMO</t>
  </si>
  <si>
    <t>MINIMO</t>
  </si>
  <si>
    <t>AMPLITUDE</t>
  </si>
  <si>
    <t>LARGURA DE CLASSE</t>
  </si>
  <si>
    <t>MÉDIA</t>
  </si>
  <si>
    <t>MODA</t>
  </si>
  <si>
    <t>MEDIANA</t>
  </si>
  <si>
    <t>DESVIO PADRÃO</t>
  </si>
  <si>
    <t>TAM (n)</t>
  </si>
  <si>
    <t>Classes</t>
  </si>
  <si>
    <t>frequencia</t>
  </si>
  <si>
    <t>freq. Relativa</t>
  </si>
  <si>
    <t>freq. Acumulada</t>
  </si>
  <si>
    <t>ponto média</t>
  </si>
  <si>
    <t>ponto médio</t>
  </si>
  <si>
    <t>True_classs</t>
  </si>
  <si>
    <t>freq. Acumualda</t>
  </si>
  <si>
    <t>Classe</t>
  </si>
  <si>
    <t>Tabela de Frequência Pred_class</t>
  </si>
  <si>
    <t>frequência</t>
  </si>
  <si>
    <t>NÍVEL DE CONF</t>
  </si>
  <si>
    <t>MARGEM DE ERRO</t>
  </si>
  <si>
    <t>LIM INFERIOR</t>
  </si>
  <si>
    <t>LIM SUPERIOR</t>
  </si>
  <si>
    <t>Para o gráfico</t>
  </si>
  <si>
    <t>Escala</t>
  </si>
  <si>
    <t>minimo</t>
  </si>
  <si>
    <t>maximo</t>
  </si>
  <si>
    <t>true_class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</si>
</sst>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1" fillId="0" borderId="0" xfId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9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/>
    <xf numFmtId="0" fontId="0" fillId="0" borderId="3" xfId="0" applyBorder="1" applyAlignment="1"/>
    <xf numFmtId="0" fontId="0" fillId="0" borderId="3" xfId="0" applyBorder="1"/>
    <xf numFmtId="0" fontId="2" fillId="0" borderId="0" xfId="0" applyFont="1" applyBorder="1"/>
    <xf numFmtId="165" fontId="0" fillId="0" borderId="1" xfId="0" applyNumberFormat="1" applyBorder="1"/>
    <xf numFmtId="2" fontId="0" fillId="0" borderId="1" xfId="0" applyNumberFormat="1" applyBorder="1"/>
    <xf numFmtId="0" fontId="0" fillId="0" borderId="0" xfId="0" applyBorder="1" applyAlignment="1">
      <alignment horizontal="center"/>
    </xf>
    <xf numFmtId="2" fontId="0" fillId="0" borderId="0" xfId="0" applyNumberFormat="1" applyFill="1" applyBorder="1"/>
    <xf numFmtId="0" fontId="2" fillId="0" borderId="5" xfId="0" applyFont="1" applyBorder="1"/>
    <xf numFmtId="0" fontId="0" fillId="0" borderId="5" xfId="0" applyBorder="1"/>
    <xf numFmtId="0" fontId="0" fillId="0" borderId="6" xfId="0" applyBorder="1"/>
    <xf numFmtId="0" fontId="1" fillId="0" borderId="0" xfId="1" applyFill="1"/>
    <xf numFmtId="0" fontId="0" fillId="0" borderId="0" xfId="0"/>
    <xf numFmtId="165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4" fontId="1" fillId="0" borderId="0" xfId="1" applyNumberFormat="1"/>
    <xf numFmtId="0" fontId="1" fillId="0" borderId="0" xfId="1" applyNumberFormat="1"/>
    <xf numFmtId="1" fontId="0" fillId="0" borderId="1" xfId="0" applyNumberFormat="1" applyBorder="1"/>
    <xf numFmtId="1" fontId="0" fillId="0" borderId="5" xfId="0" applyNumberFormat="1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165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das frequências Pred_class</a:t>
            </a:r>
            <a:endParaRPr lang="pt-BR"/>
          </a:p>
        </c:rich>
      </c:tx>
      <c:layout>
        <c:manualLayout>
          <c:xMode val="edge"/>
          <c:yMode val="edge"/>
          <c:x val="0.2493401137357830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00"/>
            </a:solidFill>
            <a:ln>
              <a:solidFill>
                <a:srgbClr val="FFC000"/>
              </a:solidFill>
            </a:ln>
            <a:effectLst/>
          </c:spPr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Plan1!$K$19:$K$23</c:f>
              <c:numCache>
                <c:formatCode>General</c:formatCode>
                <c:ptCount val="5"/>
                <c:pt idx="0">
                  <c:v>13.5</c:v>
                </c:pt>
                <c:pt idx="1">
                  <c:v>37.5</c:v>
                </c:pt>
                <c:pt idx="2">
                  <c:v>61.5</c:v>
                </c:pt>
                <c:pt idx="3">
                  <c:v>85.5</c:v>
                </c:pt>
                <c:pt idx="4">
                  <c:v>109.5</c:v>
                </c:pt>
              </c:numCache>
            </c:numRef>
          </c:cat>
          <c:val>
            <c:numRef>
              <c:f>Plan1!$J$19:$J$23</c:f>
              <c:numCache>
                <c:formatCode>General</c:formatCode>
                <c:ptCount val="5"/>
                <c:pt idx="0">
                  <c:v>219</c:v>
                </c:pt>
                <c:pt idx="1">
                  <c:v>55</c:v>
                </c:pt>
                <c:pt idx="2">
                  <c:v>100</c:v>
                </c:pt>
                <c:pt idx="3">
                  <c:v>171</c:v>
                </c:pt>
                <c:pt idx="4">
                  <c:v>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98065008"/>
        <c:axId val="-298061744"/>
      </c:barChart>
      <c:catAx>
        <c:axId val="-29806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98061744"/>
        <c:crosses val="autoZero"/>
        <c:auto val="1"/>
        <c:lblAlgn val="ctr"/>
        <c:lblOffset val="100"/>
        <c:noMultiLvlLbl val="0"/>
      </c:catAx>
      <c:valAx>
        <c:axId val="-29806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98065008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de frequências True_class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Plan1!$K$26:$K$30</c:f>
              <c:numCache>
                <c:formatCode>General</c:formatCode>
                <c:ptCount val="5"/>
                <c:pt idx="0">
                  <c:v>11.5</c:v>
                </c:pt>
                <c:pt idx="1">
                  <c:v>35.5</c:v>
                </c:pt>
                <c:pt idx="2">
                  <c:v>59.5</c:v>
                </c:pt>
                <c:pt idx="3">
                  <c:v>83.5</c:v>
                </c:pt>
                <c:pt idx="4">
                  <c:v>107.5</c:v>
                </c:pt>
              </c:numCache>
            </c:numRef>
          </c:cat>
          <c:val>
            <c:numRef>
              <c:f>Plan1!$J$26:$J$30</c:f>
              <c:numCache>
                <c:formatCode>General</c:formatCode>
                <c:ptCount val="5"/>
                <c:pt idx="0">
                  <c:v>234</c:v>
                </c:pt>
                <c:pt idx="1">
                  <c:v>61</c:v>
                </c:pt>
                <c:pt idx="2">
                  <c:v>78</c:v>
                </c:pt>
                <c:pt idx="3">
                  <c:v>174</c:v>
                </c:pt>
                <c:pt idx="4">
                  <c:v>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98063376"/>
        <c:axId val="-298064464"/>
      </c:barChart>
      <c:catAx>
        <c:axId val="-29806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98064464"/>
        <c:crosses val="autoZero"/>
        <c:auto val="1"/>
        <c:lblAlgn val="ctr"/>
        <c:lblOffset val="100"/>
        <c:noMultiLvlLbl val="0"/>
      </c:catAx>
      <c:valAx>
        <c:axId val="-29806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9806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de frequência</a:t>
            </a:r>
            <a:r>
              <a:rPr lang="pt-BR" baseline="0"/>
              <a:t> probabilidade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Plan1!$K$33:$K$37</c:f>
              <c:numCache>
                <c:formatCode>General</c:formatCode>
                <c:ptCount val="5"/>
                <c:pt idx="0">
                  <c:v>0.13499999999999998</c:v>
                </c:pt>
                <c:pt idx="1">
                  <c:v>0.33500000000000002</c:v>
                </c:pt>
                <c:pt idx="2">
                  <c:v>0.53500000000000003</c:v>
                </c:pt>
                <c:pt idx="3">
                  <c:v>0.7350000000000001</c:v>
                </c:pt>
                <c:pt idx="4">
                  <c:v>0.92</c:v>
                </c:pt>
              </c:numCache>
            </c:numRef>
          </c:cat>
          <c:val>
            <c:numRef>
              <c:f>Plan1!$J$33:$J$37</c:f>
              <c:numCache>
                <c:formatCode>0</c:formatCode>
                <c:ptCount val="5"/>
                <c:pt idx="0">
                  <c:v>33</c:v>
                </c:pt>
                <c:pt idx="1">
                  <c:v>160</c:v>
                </c:pt>
                <c:pt idx="2">
                  <c:v>136</c:v>
                </c:pt>
                <c:pt idx="3">
                  <c:v>112</c:v>
                </c:pt>
                <c:pt idx="4">
                  <c:v>202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98062288"/>
        <c:axId val="-298067184"/>
      </c:barChart>
      <c:catAx>
        <c:axId val="-29806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98067184"/>
        <c:crosses val="autoZero"/>
        <c:auto val="1"/>
        <c:lblAlgn val="ctr"/>
        <c:lblOffset val="100"/>
        <c:noMultiLvlLbl val="0"/>
      </c:catAx>
      <c:valAx>
        <c:axId val="-29806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9806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Plan1!$H$39</c:f>
              <c:strCache>
                <c:ptCount val="1"/>
                <c:pt idx="0">
                  <c:v>Pred_class</c:v>
                </c:pt>
              </c:strCache>
            </c:strRef>
          </c:cat>
          <c:val>
            <c:numRef>
              <c:f>Plan1!$H$44</c:f>
              <c:numCache>
                <c:formatCode>0.000</c:formatCode>
                <c:ptCount val="1"/>
                <c:pt idx="0">
                  <c:v>49.805893167576066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Plan1!$H$39</c:f>
              <c:strCache>
                <c:ptCount val="1"/>
                <c:pt idx="0">
                  <c:v>Pred_class</c:v>
                </c:pt>
              </c:strCache>
            </c:strRef>
          </c:cat>
          <c:val>
            <c:numRef>
              <c:f>Plan1!$H$45</c:f>
              <c:numCache>
                <c:formatCode>0.000</c:formatCode>
                <c:ptCount val="1"/>
                <c:pt idx="0">
                  <c:v>52.712286158631414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Plan1!$H$39</c:f>
              <c:strCache>
                <c:ptCount val="1"/>
                <c:pt idx="0">
                  <c:v>Pred_class</c:v>
                </c:pt>
              </c:strCache>
            </c:strRef>
          </c:cat>
          <c:val>
            <c:numRef>
              <c:f>Plan1!$H$46</c:f>
              <c:numCache>
                <c:formatCode>0.000</c:formatCode>
                <c:ptCount val="1"/>
                <c:pt idx="0">
                  <c:v>55.618679149686763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bg1">
                  <a:lumMod val="65000"/>
                  <a:alpha val="49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-298062832"/>
        <c:axId val="-298066096"/>
      </c:lineChart>
      <c:catAx>
        <c:axId val="-29806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98066096"/>
        <c:crosses val="autoZero"/>
        <c:auto val="1"/>
        <c:lblAlgn val="ctr"/>
        <c:lblOffset val="100"/>
        <c:noMultiLvlLbl val="0"/>
      </c:catAx>
      <c:valAx>
        <c:axId val="-298066096"/>
        <c:scaling>
          <c:orientation val="minMax"/>
          <c:max val="56.586999999999996"/>
          <c:min val="48.836999999999996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98062832"/>
        <c:crosses val="autoZero"/>
        <c:crossBetween val="between"/>
        <c:majorUnit val="0.9687976640000001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216478</xdr:colOff>
      <xdr:row>1</xdr:row>
      <xdr:rowOff>57150</xdr:rowOff>
    </xdr:from>
    <xdr:to>
      <xdr:col>22</xdr:col>
      <xdr:colOff>545523</xdr:colOff>
      <xdr:row>15</xdr:row>
      <xdr:rowOff>133350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216476</xdr:colOff>
      <xdr:row>16</xdr:row>
      <xdr:rowOff>61479</xdr:rowOff>
    </xdr:from>
    <xdr:to>
      <xdr:col>22</xdr:col>
      <xdr:colOff>545521</xdr:colOff>
      <xdr:row>30</xdr:row>
      <xdr:rowOff>137679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277091</xdr:colOff>
      <xdr:row>31</xdr:row>
      <xdr:rowOff>87456</xdr:rowOff>
    </xdr:from>
    <xdr:to>
      <xdr:col>23</xdr:col>
      <xdr:colOff>0</xdr:colOff>
      <xdr:row>45</xdr:row>
      <xdr:rowOff>163656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259773</xdr:colOff>
      <xdr:row>46</xdr:row>
      <xdr:rowOff>112568</xdr:rowOff>
    </xdr:from>
    <xdr:to>
      <xdr:col>22</xdr:col>
      <xdr:colOff>588818</xdr:colOff>
      <xdr:row>60</xdr:row>
      <xdr:rowOff>188768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4"/>
  <sheetViews>
    <sheetView tabSelected="1" topLeftCell="D1" zoomScale="110" zoomScaleNormal="110" workbookViewId="0">
      <selection activeCell="F25" sqref="F25"/>
    </sheetView>
  </sheetViews>
  <sheetFormatPr defaultRowHeight="15" x14ac:dyDescent="0.25"/>
  <cols>
    <col min="1" max="1" width="17.140625" customWidth="1"/>
    <col min="2" max="2" width="26.28515625" customWidth="1"/>
    <col min="3" max="3" width="11.140625" customWidth="1"/>
    <col min="7" max="7" width="19" customWidth="1"/>
    <col min="8" max="8" width="16.28515625" customWidth="1"/>
    <col min="9" max="9" width="14.42578125" customWidth="1"/>
    <col min="10" max="11" width="11.5703125" customWidth="1"/>
    <col min="12" max="12" width="13.42578125" customWidth="1"/>
    <col min="13" max="13" width="14.28515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20" t="s">
        <v>21</v>
      </c>
    </row>
    <row r="2" spans="1:18" x14ac:dyDescent="0.25">
      <c r="A2" s="1">
        <v>2</v>
      </c>
      <c r="B2" s="25">
        <v>7.9891586303711001E-2</v>
      </c>
      <c r="C2" s="1" t="s">
        <v>4</v>
      </c>
      <c r="D2" s="21">
        <v>0</v>
      </c>
    </row>
    <row r="3" spans="1:18" x14ac:dyDescent="0.25">
      <c r="A3" s="1">
        <v>2</v>
      </c>
      <c r="B3" s="25">
        <v>0.37937693595886202</v>
      </c>
      <c r="C3" s="1" t="s">
        <v>4</v>
      </c>
      <c r="D3" s="21">
        <v>74</v>
      </c>
      <c r="G3" s="5"/>
      <c r="H3" s="3" t="s">
        <v>0</v>
      </c>
      <c r="I3" s="3" t="s">
        <v>1</v>
      </c>
      <c r="J3" s="3" t="s">
        <v>3</v>
      </c>
      <c r="K3" s="15"/>
      <c r="M3" s="5"/>
      <c r="N3" s="34"/>
      <c r="O3" s="34"/>
      <c r="P3" s="34"/>
      <c r="Q3" s="34"/>
    </row>
    <row r="4" spans="1:18" x14ac:dyDescent="0.25">
      <c r="A4" s="1">
        <v>2</v>
      </c>
      <c r="B4" s="25">
        <v>0.37937693595886202</v>
      </c>
      <c r="C4" s="1" t="s">
        <v>4</v>
      </c>
      <c r="D4" s="21">
        <v>74</v>
      </c>
      <c r="G4" s="2" t="s">
        <v>6</v>
      </c>
      <c r="H4" s="3">
        <f>MAX(A2:A644)</f>
        <v>118</v>
      </c>
      <c r="I4" s="4">
        <v>1</v>
      </c>
      <c r="J4" s="3">
        <v>118</v>
      </c>
      <c r="K4" s="15"/>
      <c r="M4" s="12"/>
      <c r="N4" s="5"/>
      <c r="O4" s="5"/>
      <c r="P4" s="5"/>
      <c r="Q4" s="5"/>
    </row>
    <row r="5" spans="1:18" x14ac:dyDescent="0.25">
      <c r="A5" s="1">
        <v>2</v>
      </c>
      <c r="B5" s="25">
        <v>0.42093024253845202</v>
      </c>
      <c r="C5" s="1" t="s">
        <v>4</v>
      </c>
      <c r="D5" s="21">
        <v>74</v>
      </c>
      <c r="G5" s="2" t="s">
        <v>7</v>
      </c>
      <c r="H5" s="3">
        <f>MIN(A2:A644)</f>
        <v>2</v>
      </c>
      <c r="I5" s="23">
        <v>4.3858000000000001E-2</v>
      </c>
      <c r="J5" s="3">
        <v>0</v>
      </c>
      <c r="K5" s="15"/>
      <c r="M5" s="12"/>
      <c r="N5" s="5"/>
      <c r="O5" s="5"/>
      <c r="P5" s="5"/>
      <c r="Q5" s="5"/>
    </row>
    <row r="6" spans="1:18" x14ac:dyDescent="0.25">
      <c r="A6" s="1">
        <v>2</v>
      </c>
      <c r="B6" s="26">
        <v>0.607437467575073</v>
      </c>
      <c r="C6" s="1" t="s">
        <v>4</v>
      </c>
      <c r="D6" s="21">
        <v>2</v>
      </c>
      <c r="G6" s="2" t="s">
        <v>8</v>
      </c>
      <c r="H6" s="3">
        <f>(H4-H5)</f>
        <v>116</v>
      </c>
      <c r="I6" s="23">
        <v>0.95614100000000002</v>
      </c>
      <c r="J6" s="3">
        <v>118</v>
      </c>
      <c r="K6" s="15"/>
      <c r="M6" s="12"/>
      <c r="N6" s="5"/>
      <c r="O6" s="5"/>
      <c r="P6" s="5"/>
      <c r="Q6" s="5"/>
    </row>
    <row r="7" spans="1:18" x14ac:dyDescent="0.25">
      <c r="A7" s="1">
        <v>2</v>
      </c>
      <c r="B7" s="26">
        <v>0.69089431762695297</v>
      </c>
      <c r="C7" s="1" t="s">
        <v>4</v>
      </c>
      <c r="D7" s="21">
        <v>2</v>
      </c>
      <c r="G7" s="2" t="s">
        <v>9</v>
      </c>
      <c r="H7" s="3">
        <v>24</v>
      </c>
      <c r="I7" s="23">
        <f>0.96/5</f>
        <v>0.192</v>
      </c>
      <c r="J7" s="3">
        <f>118/5</f>
        <v>23.6</v>
      </c>
      <c r="K7" s="15"/>
      <c r="M7" s="12"/>
      <c r="N7" s="5"/>
      <c r="O7" s="5"/>
      <c r="P7" s="5"/>
      <c r="Q7" s="5"/>
    </row>
    <row r="8" spans="1:18" x14ac:dyDescent="0.25">
      <c r="A8" s="1">
        <v>2</v>
      </c>
      <c r="B8" s="26">
        <v>0.75949273109436</v>
      </c>
      <c r="C8" s="1" t="s">
        <v>4</v>
      </c>
      <c r="D8" s="21">
        <v>2</v>
      </c>
      <c r="G8" s="2" t="s">
        <v>10</v>
      </c>
      <c r="H8" s="3">
        <f>AVERAGE(A2:A644)</f>
        <v>52.712286158631414</v>
      </c>
      <c r="I8" s="23">
        <v>0.62436000000000003</v>
      </c>
      <c r="J8" s="3">
        <v>48.251944000000002</v>
      </c>
      <c r="K8" s="15"/>
      <c r="M8" s="12"/>
      <c r="N8" s="5"/>
      <c r="O8" s="5"/>
      <c r="P8" s="5"/>
      <c r="Q8" s="5"/>
    </row>
    <row r="9" spans="1:18" x14ac:dyDescent="0.25">
      <c r="A9" s="1">
        <v>2</v>
      </c>
      <c r="B9" s="26">
        <v>0.83491039276123002</v>
      </c>
      <c r="C9" s="1" t="s">
        <v>4</v>
      </c>
      <c r="D9" s="21">
        <v>2</v>
      </c>
      <c r="G9" s="2" t="s">
        <v>11</v>
      </c>
      <c r="H9" s="3">
        <f>_xlfn.MODE.SNGL(A2:A644)</f>
        <v>3</v>
      </c>
      <c r="I9" s="23">
        <v>1</v>
      </c>
      <c r="J9" s="3">
        <v>74</v>
      </c>
      <c r="K9" s="15"/>
    </row>
    <row r="10" spans="1:18" x14ac:dyDescent="0.25">
      <c r="A10" s="1">
        <v>2</v>
      </c>
      <c r="B10" s="26">
        <v>0.861395740509032</v>
      </c>
      <c r="C10" s="1" t="s">
        <v>4</v>
      </c>
      <c r="D10" s="21">
        <v>2</v>
      </c>
      <c r="G10" s="2" t="s">
        <v>12</v>
      </c>
      <c r="H10" s="3">
        <v>59</v>
      </c>
      <c r="I10" s="23">
        <v>0.61680855000000001</v>
      </c>
      <c r="J10" s="3">
        <v>55</v>
      </c>
      <c r="K10" s="15"/>
    </row>
    <row r="11" spans="1:18" x14ac:dyDescent="0.25">
      <c r="A11" s="1">
        <v>2</v>
      </c>
      <c r="B11" s="26">
        <v>1</v>
      </c>
      <c r="C11" s="1" t="s">
        <v>4</v>
      </c>
      <c r="D11" s="21">
        <v>2</v>
      </c>
      <c r="G11" s="2" t="s">
        <v>13</v>
      </c>
      <c r="H11" s="3">
        <f>_xlfn.STDEV.S(A2:A644)</f>
        <v>37.602068216701021</v>
      </c>
      <c r="I11" s="23">
        <v>0.26681100000000002</v>
      </c>
      <c r="J11" s="3">
        <v>38.542259999999999</v>
      </c>
      <c r="K11" s="15"/>
    </row>
    <row r="12" spans="1:18" x14ac:dyDescent="0.25">
      <c r="A12" s="1">
        <v>2</v>
      </c>
      <c r="B12" s="26">
        <v>1</v>
      </c>
      <c r="C12" s="1" t="s">
        <v>4</v>
      </c>
      <c r="D12" s="21">
        <v>2</v>
      </c>
      <c r="G12" s="2" t="s">
        <v>14</v>
      </c>
      <c r="H12" s="3">
        <f>COUNT(A2:A644)</f>
        <v>643</v>
      </c>
      <c r="I12" s="23">
        <v>643</v>
      </c>
      <c r="J12" s="3">
        <v>643</v>
      </c>
      <c r="K12" s="15"/>
    </row>
    <row r="13" spans="1:18" x14ac:dyDescent="0.25">
      <c r="A13" s="1">
        <v>3</v>
      </c>
      <c r="B13" s="26">
        <v>0.34143924713134799</v>
      </c>
      <c r="C13" s="1" t="s">
        <v>4</v>
      </c>
      <c r="D13" s="21">
        <v>3</v>
      </c>
      <c r="G13" s="6">
        <v>0.25</v>
      </c>
      <c r="H13" s="3">
        <v>12</v>
      </c>
      <c r="I13" s="24">
        <v>0.40801700000000002</v>
      </c>
      <c r="J13" s="3">
        <v>3</v>
      </c>
      <c r="K13" s="15"/>
    </row>
    <row r="14" spans="1:18" x14ac:dyDescent="0.25">
      <c r="A14" s="1">
        <v>3</v>
      </c>
      <c r="B14" s="26">
        <v>0.34748705625534099</v>
      </c>
      <c r="C14" s="1" t="s">
        <v>4</v>
      </c>
      <c r="D14" s="21">
        <v>108</v>
      </c>
      <c r="G14" s="6">
        <v>0.5</v>
      </c>
      <c r="H14" s="3">
        <v>59</v>
      </c>
      <c r="I14" s="24">
        <v>0.61680900000000005</v>
      </c>
      <c r="J14" s="3">
        <v>55</v>
      </c>
      <c r="K14" s="15"/>
    </row>
    <row r="15" spans="1:18" x14ac:dyDescent="0.25">
      <c r="A15" s="1">
        <v>3</v>
      </c>
      <c r="B15" s="26">
        <v>0.41225292682647702</v>
      </c>
      <c r="C15" s="1" t="s">
        <v>4</v>
      </c>
      <c r="D15" s="21">
        <v>79</v>
      </c>
      <c r="G15" s="6">
        <v>0.75</v>
      </c>
      <c r="H15" s="3">
        <v>81</v>
      </c>
      <c r="I15" s="24">
        <v>4.3858000000000001E-2</v>
      </c>
      <c r="J15" s="3">
        <v>77</v>
      </c>
      <c r="K15" s="15"/>
    </row>
    <row r="16" spans="1:18" x14ac:dyDescent="0.25">
      <c r="A16" s="1">
        <v>3</v>
      </c>
      <c r="B16" s="26">
        <v>0.49398179054260299</v>
      </c>
      <c r="C16" s="1" t="s">
        <v>4</v>
      </c>
      <c r="D16" s="21">
        <v>24</v>
      </c>
      <c r="N16" s="5"/>
      <c r="O16" s="5"/>
      <c r="P16" s="5"/>
      <c r="Q16" s="5"/>
      <c r="R16" s="5"/>
    </row>
    <row r="17" spans="1:18" x14ac:dyDescent="0.25">
      <c r="A17" s="1">
        <v>3</v>
      </c>
      <c r="B17" s="26">
        <v>0.72403039932251001</v>
      </c>
      <c r="C17" s="1" t="s">
        <v>4</v>
      </c>
      <c r="D17" s="21">
        <v>3</v>
      </c>
      <c r="F17" s="35" t="s">
        <v>24</v>
      </c>
      <c r="G17" s="35"/>
      <c r="H17" s="35"/>
      <c r="I17" s="35"/>
      <c r="J17" s="35"/>
      <c r="K17" s="35"/>
      <c r="L17" s="35"/>
      <c r="M17" s="35"/>
      <c r="N17" s="5"/>
      <c r="O17" s="5"/>
      <c r="P17" s="5"/>
      <c r="Q17" s="5"/>
      <c r="R17" s="5"/>
    </row>
    <row r="18" spans="1:18" x14ac:dyDescent="0.25">
      <c r="A18" s="1">
        <v>3</v>
      </c>
      <c r="B18" s="26">
        <v>0.81813254356384302</v>
      </c>
      <c r="C18" s="1" t="s">
        <v>4</v>
      </c>
      <c r="D18" s="21">
        <v>3</v>
      </c>
      <c r="F18" s="2"/>
      <c r="G18" s="35" t="s">
        <v>15</v>
      </c>
      <c r="H18" s="35"/>
      <c r="I18" s="35"/>
      <c r="J18" s="9" t="s">
        <v>16</v>
      </c>
      <c r="K18" s="9" t="s">
        <v>19</v>
      </c>
      <c r="L18" s="2" t="s">
        <v>17</v>
      </c>
      <c r="M18" s="2" t="s">
        <v>18</v>
      </c>
      <c r="N18" s="5"/>
      <c r="O18" s="5"/>
      <c r="P18" s="5"/>
      <c r="Q18" s="5"/>
      <c r="R18" s="5"/>
    </row>
    <row r="19" spans="1:18" x14ac:dyDescent="0.25">
      <c r="A19" s="1">
        <v>3</v>
      </c>
      <c r="B19" s="26">
        <v>1</v>
      </c>
      <c r="C19" s="1" t="s">
        <v>4</v>
      </c>
      <c r="D19" s="21">
        <v>3</v>
      </c>
      <c r="F19" s="8">
        <v>1</v>
      </c>
      <c r="G19" s="2">
        <v>2</v>
      </c>
      <c r="H19" s="2"/>
      <c r="I19" s="2">
        <v>25</v>
      </c>
      <c r="J19" s="2">
        <f t="array" ref="J19:J23">FREQUENCY(A2:A644,I19:I23)</f>
        <v>219</v>
      </c>
      <c r="K19" s="2">
        <f>AVERAGE(G19,I19)</f>
        <v>13.5</v>
      </c>
      <c r="L19" s="14">
        <f>J19/643</f>
        <v>0.3405909797822706</v>
      </c>
      <c r="M19" s="2">
        <f>J19</f>
        <v>219</v>
      </c>
      <c r="N19" s="5"/>
      <c r="O19" s="5"/>
      <c r="P19" s="5"/>
      <c r="Q19" s="5"/>
      <c r="R19" s="5"/>
    </row>
    <row r="20" spans="1:18" x14ac:dyDescent="0.25">
      <c r="A20" s="1">
        <v>4</v>
      </c>
      <c r="B20" s="26">
        <v>0.39969983100891099</v>
      </c>
      <c r="C20" s="1" t="s">
        <v>4</v>
      </c>
      <c r="D20" s="21">
        <v>98</v>
      </c>
      <c r="F20" s="8">
        <v>2</v>
      </c>
      <c r="G20" s="2">
        <f>G19+H7</f>
        <v>26</v>
      </c>
      <c r="H20" s="2"/>
      <c r="I20" s="2">
        <f>I19+H7</f>
        <v>49</v>
      </c>
      <c r="J20" s="2">
        <v>55</v>
      </c>
      <c r="K20" s="2">
        <f>AVERAGE(G20,I20)</f>
        <v>37.5</v>
      </c>
      <c r="L20" s="14">
        <f>J20/643</f>
        <v>8.553654743390357E-2</v>
      </c>
      <c r="M20" s="2">
        <f>J19+J20</f>
        <v>274</v>
      </c>
      <c r="N20" s="5"/>
      <c r="O20" s="5"/>
      <c r="P20" s="5"/>
      <c r="Q20" s="5"/>
      <c r="R20" s="5"/>
    </row>
    <row r="21" spans="1:18" x14ac:dyDescent="0.25">
      <c r="A21" s="1">
        <v>4</v>
      </c>
      <c r="B21" s="26">
        <v>0.44653184413909802</v>
      </c>
      <c r="C21" s="1" t="s">
        <v>4</v>
      </c>
      <c r="D21" s="21">
        <v>74</v>
      </c>
      <c r="F21" s="8">
        <v>3</v>
      </c>
      <c r="G21" s="2">
        <f t="shared" ref="G21:G23" si="0">G20+24</f>
        <v>50</v>
      </c>
      <c r="H21" s="2"/>
      <c r="I21" s="2">
        <f>I20+H7</f>
        <v>73</v>
      </c>
      <c r="J21" s="2">
        <v>100</v>
      </c>
      <c r="K21" s="2">
        <f t="shared" ref="K21:K23" si="1">AVERAGE(G21,I21)</f>
        <v>61.5</v>
      </c>
      <c r="L21" s="14">
        <f>J21/643</f>
        <v>0.15552099533437014</v>
      </c>
      <c r="M21" s="2">
        <f>J20+J21</f>
        <v>155</v>
      </c>
      <c r="N21" s="5"/>
      <c r="O21" s="5"/>
      <c r="P21" s="5"/>
      <c r="Q21" s="5"/>
      <c r="R21" s="5"/>
    </row>
    <row r="22" spans="1:18" x14ac:dyDescent="0.25">
      <c r="A22" s="1">
        <v>4</v>
      </c>
      <c r="B22" s="26">
        <v>0.72854747772216799</v>
      </c>
      <c r="C22" s="1" t="s">
        <v>4</v>
      </c>
      <c r="D22" s="21">
        <v>4</v>
      </c>
      <c r="F22" s="8">
        <v>4</v>
      </c>
      <c r="G22" s="2">
        <f t="shared" si="0"/>
        <v>74</v>
      </c>
      <c r="H22" s="2"/>
      <c r="I22" s="2">
        <f>I21+H7</f>
        <v>97</v>
      </c>
      <c r="J22" s="2">
        <v>171</v>
      </c>
      <c r="K22" s="2">
        <f t="shared" si="1"/>
        <v>85.5</v>
      </c>
      <c r="L22" s="14">
        <f>J22/643</f>
        <v>0.26594090202177295</v>
      </c>
      <c r="M22" s="2">
        <f>J21+J22</f>
        <v>271</v>
      </c>
      <c r="N22" s="5"/>
      <c r="O22" s="5"/>
      <c r="P22" s="5"/>
      <c r="Q22" s="5"/>
      <c r="R22" s="5"/>
    </row>
    <row r="23" spans="1:18" x14ac:dyDescent="0.25">
      <c r="A23" s="1">
        <v>4</v>
      </c>
      <c r="B23" s="26">
        <v>0.83287658691406297</v>
      </c>
      <c r="C23" s="1" t="s">
        <v>4</v>
      </c>
      <c r="D23" s="21">
        <v>4</v>
      </c>
      <c r="F23" s="8">
        <v>5</v>
      </c>
      <c r="G23" s="2">
        <f t="shared" si="0"/>
        <v>98</v>
      </c>
      <c r="H23" s="2"/>
      <c r="I23" s="2">
        <f>I22+H7</f>
        <v>121</v>
      </c>
      <c r="J23" s="2">
        <v>98</v>
      </c>
      <c r="K23" s="2">
        <f t="shared" si="1"/>
        <v>109.5</v>
      </c>
      <c r="L23" s="14">
        <f>J23/643</f>
        <v>0.15241057542768274</v>
      </c>
      <c r="M23" s="2">
        <f>J22+J23</f>
        <v>269</v>
      </c>
      <c r="N23" s="5"/>
      <c r="O23" s="5"/>
      <c r="P23" s="5"/>
      <c r="Q23" s="5"/>
      <c r="R23" s="5"/>
    </row>
    <row r="24" spans="1:18" x14ac:dyDescent="0.25">
      <c r="A24" s="1">
        <v>4</v>
      </c>
      <c r="B24" s="26">
        <v>1</v>
      </c>
      <c r="C24" s="1" t="s">
        <v>4</v>
      </c>
      <c r="D24" s="21">
        <v>4</v>
      </c>
      <c r="L24" s="16"/>
      <c r="N24" s="5"/>
      <c r="O24" s="5"/>
      <c r="P24" s="5"/>
      <c r="Q24" s="5"/>
      <c r="R24" s="5"/>
    </row>
    <row r="25" spans="1:18" x14ac:dyDescent="0.25">
      <c r="A25" s="1">
        <v>11</v>
      </c>
      <c r="B25" s="26">
        <v>0.26371297836303698</v>
      </c>
      <c r="C25" s="1" t="s">
        <v>4</v>
      </c>
      <c r="D25" s="21">
        <v>79</v>
      </c>
      <c r="F25" s="2"/>
      <c r="G25" s="36" t="s">
        <v>15</v>
      </c>
      <c r="H25" s="37"/>
      <c r="I25" s="38"/>
      <c r="J25" s="2" t="s">
        <v>16</v>
      </c>
      <c r="K25" s="2" t="s">
        <v>20</v>
      </c>
      <c r="L25" s="2" t="s">
        <v>17</v>
      </c>
      <c r="M25" s="2" t="s">
        <v>22</v>
      </c>
      <c r="N25" s="5"/>
      <c r="O25" s="5"/>
      <c r="P25" s="5"/>
      <c r="Q25" s="5"/>
      <c r="R25" s="5"/>
    </row>
    <row r="26" spans="1:18" x14ac:dyDescent="0.25">
      <c r="A26" s="1">
        <v>11</v>
      </c>
      <c r="B26" s="26">
        <v>1</v>
      </c>
      <c r="C26" s="1" t="s">
        <v>4</v>
      </c>
      <c r="D26" s="21">
        <v>11</v>
      </c>
      <c r="F26" s="8">
        <v>1</v>
      </c>
      <c r="G26" s="2">
        <v>0</v>
      </c>
      <c r="H26" s="2"/>
      <c r="I26" s="2">
        <v>23</v>
      </c>
      <c r="J26" s="2">
        <f t="array" ref="J26:J30">FREQUENCY(D2:D644,I26:I30)</f>
        <v>234</v>
      </c>
      <c r="K26" s="2">
        <f>AVERAGE(G26,I26)</f>
        <v>11.5</v>
      </c>
      <c r="L26" s="14">
        <f>J26/643</f>
        <v>0.36391912908242613</v>
      </c>
      <c r="M26" s="2">
        <f>J26</f>
        <v>234</v>
      </c>
    </row>
    <row r="27" spans="1:18" x14ac:dyDescent="0.25">
      <c r="A27" s="1">
        <v>17</v>
      </c>
      <c r="B27" s="26">
        <v>0.99395265579223702</v>
      </c>
      <c r="C27" s="1" t="s">
        <v>4</v>
      </c>
      <c r="D27" s="21">
        <v>17</v>
      </c>
      <c r="F27" s="8">
        <v>2</v>
      </c>
      <c r="G27" s="2">
        <f>G26 + 24</f>
        <v>24</v>
      </c>
      <c r="H27" s="2"/>
      <c r="I27" s="2">
        <f>I26 + 24</f>
        <v>47</v>
      </c>
      <c r="J27" s="2">
        <v>61</v>
      </c>
      <c r="K27" s="2">
        <f t="shared" ref="K27:K30" si="2">AVERAGE(G27,I27)</f>
        <v>35.5</v>
      </c>
      <c r="L27" s="14">
        <f>J27/643</f>
        <v>9.4867807153965783E-2</v>
      </c>
      <c r="M27" s="2">
        <f>M26 + J27</f>
        <v>295</v>
      </c>
    </row>
    <row r="28" spans="1:18" x14ac:dyDescent="0.25">
      <c r="A28" s="1">
        <v>22</v>
      </c>
      <c r="B28" s="26">
        <v>0.60344552993774403</v>
      </c>
      <c r="C28" s="1" t="s">
        <v>4</v>
      </c>
      <c r="D28" s="21">
        <v>85</v>
      </c>
      <c r="F28" s="8">
        <v>3</v>
      </c>
      <c r="G28" s="2">
        <f t="shared" ref="G28:G30" si="3">G27 + 24</f>
        <v>48</v>
      </c>
      <c r="H28" s="2"/>
      <c r="I28" s="2">
        <f t="shared" ref="I28:I30" si="4">I27 + 24</f>
        <v>71</v>
      </c>
      <c r="J28" s="2">
        <v>78</v>
      </c>
      <c r="K28" s="2">
        <f>AVERAGE(G28,I28)</f>
        <v>59.5</v>
      </c>
      <c r="L28" s="14">
        <f t="shared" ref="L28:L30" si="5">J28/643</f>
        <v>0.12130637636080871</v>
      </c>
      <c r="M28" s="2">
        <f>M27 + J28</f>
        <v>373</v>
      </c>
    </row>
    <row r="29" spans="1:18" x14ac:dyDescent="0.25">
      <c r="A29" s="1">
        <v>22</v>
      </c>
      <c r="B29" s="26">
        <v>0.91275086402893002</v>
      </c>
      <c r="C29" s="1" t="s">
        <v>4</v>
      </c>
      <c r="D29" s="21">
        <v>22</v>
      </c>
      <c r="F29" s="8">
        <v>4</v>
      </c>
      <c r="G29" s="2">
        <f t="shared" si="3"/>
        <v>72</v>
      </c>
      <c r="H29" s="2"/>
      <c r="I29" s="2">
        <f t="shared" si="4"/>
        <v>95</v>
      </c>
      <c r="J29" s="2">
        <v>174</v>
      </c>
      <c r="K29" s="2">
        <f t="shared" si="2"/>
        <v>83.5</v>
      </c>
      <c r="L29" s="14">
        <f t="shared" si="5"/>
        <v>0.27060653188180406</v>
      </c>
      <c r="M29" s="2">
        <f>M28 + J29</f>
        <v>547</v>
      </c>
    </row>
    <row r="30" spans="1:18" x14ac:dyDescent="0.25">
      <c r="A30" s="1">
        <v>24</v>
      </c>
      <c r="B30" s="26">
        <v>0.73805971145629901</v>
      </c>
      <c r="C30" s="1" t="s">
        <v>4</v>
      </c>
      <c r="D30" s="21">
        <v>24</v>
      </c>
      <c r="F30" s="17">
        <v>5</v>
      </c>
      <c r="G30" s="2">
        <f t="shared" si="3"/>
        <v>96</v>
      </c>
      <c r="H30" s="18"/>
      <c r="I30" s="2">
        <f t="shared" si="4"/>
        <v>119</v>
      </c>
      <c r="J30" s="18">
        <v>96</v>
      </c>
      <c r="K30" s="2">
        <f t="shared" si="2"/>
        <v>107.5</v>
      </c>
      <c r="L30" s="14">
        <f t="shared" si="5"/>
        <v>0.14930015552099535</v>
      </c>
      <c r="M30" s="2">
        <f>M29 + J30</f>
        <v>643</v>
      </c>
    </row>
    <row r="31" spans="1:18" x14ac:dyDescent="0.25">
      <c r="A31" s="1">
        <v>26</v>
      </c>
      <c r="B31" s="26">
        <v>0.28518804311752299</v>
      </c>
      <c r="C31" s="1" t="s">
        <v>4</v>
      </c>
      <c r="D31" s="21">
        <v>79</v>
      </c>
      <c r="F31" s="19"/>
      <c r="G31" s="19"/>
      <c r="H31" s="19"/>
      <c r="I31" s="19"/>
      <c r="J31" s="19"/>
      <c r="K31" s="19"/>
      <c r="L31" s="19"/>
      <c r="M31" s="19"/>
    </row>
    <row r="32" spans="1:18" x14ac:dyDescent="0.25">
      <c r="A32" s="1">
        <v>32</v>
      </c>
      <c r="B32" s="26">
        <v>0.42629122734069802</v>
      </c>
      <c r="C32" s="1" t="s">
        <v>4</v>
      </c>
      <c r="D32" s="21">
        <v>2</v>
      </c>
      <c r="F32" s="2"/>
      <c r="G32" s="36" t="s">
        <v>23</v>
      </c>
      <c r="H32" s="37"/>
      <c r="I32" s="38"/>
      <c r="J32" s="2" t="s">
        <v>25</v>
      </c>
      <c r="K32" s="2" t="s">
        <v>20</v>
      </c>
      <c r="L32" s="2" t="s">
        <v>17</v>
      </c>
      <c r="M32" s="2" t="s">
        <v>17</v>
      </c>
    </row>
    <row r="33" spans="1:13" x14ac:dyDescent="0.25">
      <c r="A33" s="1">
        <v>33</v>
      </c>
      <c r="B33" s="26">
        <v>0.36182901859283501</v>
      </c>
      <c r="C33" s="1" t="s">
        <v>4</v>
      </c>
      <c r="D33" s="21">
        <v>0</v>
      </c>
      <c r="F33" s="8">
        <v>1</v>
      </c>
      <c r="G33" s="2">
        <v>0.04</v>
      </c>
      <c r="H33" s="2"/>
      <c r="I33" s="2">
        <f>0.24-0.01</f>
        <v>0.22999999999999998</v>
      </c>
      <c r="J33" s="27">
        <f t="array" ref="J33:J37">FREQUENCY(B2:B644,I33:I37)</f>
        <v>33</v>
      </c>
      <c r="K33" s="2">
        <f>AVERAGE(G33,I33)</f>
        <v>0.13499999999999998</v>
      </c>
      <c r="L33" s="13">
        <f>J33/643</f>
        <v>5.1321928460342149E-2</v>
      </c>
      <c r="M33" s="2">
        <v>33</v>
      </c>
    </row>
    <row r="34" spans="1:13" x14ac:dyDescent="0.25">
      <c r="A34" s="1">
        <v>48</v>
      </c>
      <c r="B34" s="26">
        <v>0.50271966457366901</v>
      </c>
      <c r="C34" s="1" t="s">
        <v>4</v>
      </c>
      <c r="D34" s="21">
        <v>48</v>
      </c>
      <c r="F34" s="8">
        <v>2</v>
      </c>
      <c r="G34" s="2">
        <f>G33 + 0.2</f>
        <v>0.24000000000000002</v>
      </c>
      <c r="H34" s="2"/>
      <c r="I34" s="2">
        <f>I33+0.2</f>
        <v>0.43</v>
      </c>
      <c r="J34" s="27">
        <v>160</v>
      </c>
      <c r="K34" s="2">
        <f t="shared" ref="K34:K37" si="6">AVERAGE(G34,I34)</f>
        <v>0.33500000000000002</v>
      </c>
      <c r="L34" s="13">
        <f t="shared" ref="L34:L37" si="7">J34/643</f>
        <v>0.24883359253499224</v>
      </c>
      <c r="M34" s="27">
        <f>M33+J34</f>
        <v>193</v>
      </c>
    </row>
    <row r="35" spans="1:13" x14ac:dyDescent="0.25">
      <c r="A35" s="1">
        <v>50</v>
      </c>
      <c r="B35" s="26">
        <v>5.4040496349334999E-2</v>
      </c>
      <c r="C35" s="1" t="s">
        <v>4</v>
      </c>
      <c r="D35" s="21">
        <v>0</v>
      </c>
      <c r="F35" s="8">
        <v>3</v>
      </c>
      <c r="G35" s="2">
        <f>G34 + 0.2</f>
        <v>0.44000000000000006</v>
      </c>
      <c r="H35" s="2"/>
      <c r="I35" s="2">
        <f t="shared" ref="I35:I36" si="8">I34+0.2</f>
        <v>0.63</v>
      </c>
      <c r="J35" s="27">
        <v>136</v>
      </c>
      <c r="K35" s="2">
        <f t="shared" si="6"/>
        <v>0.53500000000000003</v>
      </c>
      <c r="L35" s="13">
        <f t="shared" si="7"/>
        <v>0.21150855365474339</v>
      </c>
      <c r="M35" s="27">
        <f>M34+J35</f>
        <v>329</v>
      </c>
    </row>
    <row r="36" spans="1:13" x14ac:dyDescent="0.25">
      <c r="A36" s="1">
        <v>52</v>
      </c>
      <c r="B36" s="26">
        <v>1</v>
      </c>
      <c r="C36" s="1" t="s">
        <v>4</v>
      </c>
      <c r="D36" s="21">
        <v>52</v>
      </c>
      <c r="F36" s="8">
        <v>4</v>
      </c>
      <c r="G36" s="2">
        <f t="shared" ref="G36:G37" si="9">G35 + 0.2</f>
        <v>0.64000000000000012</v>
      </c>
      <c r="H36" s="2"/>
      <c r="I36" s="2">
        <f t="shared" si="8"/>
        <v>0.83000000000000007</v>
      </c>
      <c r="J36" s="27">
        <v>112</v>
      </c>
      <c r="K36" s="2">
        <f t="shared" si="6"/>
        <v>0.7350000000000001</v>
      </c>
      <c r="L36" s="13">
        <f t="shared" si="7"/>
        <v>0.17418351477449456</v>
      </c>
      <c r="M36" s="27">
        <f>M35+J36</f>
        <v>441</v>
      </c>
    </row>
    <row r="37" spans="1:13" x14ac:dyDescent="0.25">
      <c r="A37" s="1">
        <v>55</v>
      </c>
      <c r="B37" s="26">
        <v>0.64929490089416497</v>
      </c>
      <c r="C37" s="1" t="s">
        <v>4</v>
      </c>
      <c r="D37" s="21">
        <v>73</v>
      </c>
      <c r="F37" s="17">
        <v>5</v>
      </c>
      <c r="G37" s="18">
        <f t="shared" si="9"/>
        <v>0.84000000000000008</v>
      </c>
      <c r="H37" s="18"/>
      <c r="I37" s="18">
        <f>1</f>
        <v>1</v>
      </c>
      <c r="J37" s="28">
        <v>202</v>
      </c>
      <c r="K37" s="2">
        <f t="shared" si="6"/>
        <v>0.92</v>
      </c>
      <c r="L37" s="13">
        <f t="shared" si="7"/>
        <v>0.3141524105754277</v>
      </c>
      <c r="M37" s="27">
        <f>M36+J37</f>
        <v>643</v>
      </c>
    </row>
    <row r="38" spans="1:13" x14ac:dyDescent="0.25">
      <c r="A38" s="1">
        <v>55</v>
      </c>
      <c r="B38" s="26">
        <v>0.88676767349243102</v>
      </c>
      <c r="C38" s="1" t="s">
        <v>4</v>
      </c>
      <c r="D38" s="21">
        <v>55</v>
      </c>
      <c r="F38" s="19"/>
      <c r="G38" s="19"/>
      <c r="H38" s="19"/>
      <c r="I38" s="19"/>
      <c r="J38" s="19"/>
      <c r="K38" s="19"/>
      <c r="L38" s="19"/>
      <c r="M38" s="19"/>
    </row>
    <row r="39" spans="1:13" x14ac:dyDescent="0.25">
      <c r="A39" s="1">
        <v>55</v>
      </c>
      <c r="B39" s="26">
        <v>0.92100214958190896</v>
      </c>
      <c r="C39" s="1" t="s">
        <v>4</v>
      </c>
      <c r="D39" s="21">
        <v>55</v>
      </c>
      <c r="F39" s="30"/>
      <c r="G39" s="29"/>
      <c r="H39" s="3" t="s">
        <v>0</v>
      </c>
      <c r="I39" s="3" t="s">
        <v>1</v>
      </c>
      <c r="J39" s="3" t="s">
        <v>3</v>
      </c>
    </row>
    <row r="40" spans="1:13" x14ac:dyDescent="0.25">
      <c r="A40" s="1">
        <v>55</v>
      </c>
      <c r="B40" s="26">
        <v>0.92100214958190896</v>
      </c>
      <c r="C40" s="1" t="s">
        <v>4</v>
      </c>
      <c r="D40" s="21">
        <v>55</v>
      </c>
      <c r="F40" s="30"/>
      <c r="G40" s="29" t="s">
        <v>14</v>
      </c>
      <c r="H40" s="3">
        <v>643</v>
      </c>
      <c r="I40" s="3">
        <v>643</v>
      </c>
      <c r="J40" s="3">
        <v>643</v>
      </c>
    </row>
    <row r="41" spans="1:13" x14ac:dyDescent="0.25">
      <c r="A41" s="1">
        <v>60</v>
      </c>
      <c r="B41" s="26">
        <v>0.40233945846557601</v>
      </c>
      <c r="C41" s="1" t="s">
        <v>4</v>
      </c>
      <c r="D41" s="21">
        <v>3</v>
      </c>
      <c r="F41" s="30"/>
      <c r="G41" s="29" t="s">
        <v>13</v>
      </c>
      <c r="H41" s="22">
        <f>_xlfn.STDEV.S(A2:A644)</f>
        <v>37.602068216701021</v>
      </c>
      <c r="I41" s="3"/>
      <c r="J41" s="3"/>
    </row>
    <row r="42" spans="1:13" x14ac:dyDescent="0.25">
      <c r="A42" s="1">
        <v>60</v>
      </c>
      <c r="B42" s="26">
        <v>0.47992663383483902</v>
      </c>
      <c r="C42" s="1" t="s">
        <v>4</v>
      </c>
      <c r="D42" s="21">
        <v>60</v>
      </c>
      <c r="F42" s="30"/>
      <c r="G42" s="29" t="s">
        <v>26</v>
      </c>
      <c r="H42" s="7">
        <v>0.95</v>
      </c>
      <c r="I42" s="3"/>
      <c r="J42" s="3"/>
    </row>
    <row r="43" spans="1:13" x14ac:dyDescent="0.25">
      <c r="A43" s="1">
        <v>60</v>
      </c>
      <c r="B43" s="26">
        <v>0.49990699291229301</v>
      </c>
      <c r="C43" s="1" t="s">
        <v>4</v>
      </c>
      <c r="D43" s="21">
        <v>4</v>
      </c>
      <c r="F43" s="30"/>
      <c r="G43" s="29" t="s">
        <v>27</v>
      </c>
      <c r="H43" s="22">
        <f>_xlfn.CONFIDENCE.NORM(1-H42,H41,H40)</f>
        <v>2.9063929910553505</v>
      </c>
      <c r="I43" s="3"/>
      <c r="J43" s="3"/>
    </row>
    <row r="44" spans="1:13" x14ac:dyDescent="0.25">
      <c r="A44" s="1">
        <v>62</v>
      </c>
      <c r="B44" s="26">
        <v>0.66235108375549201</v>
      </c>
      <c r="C44" s="1" t="s">
        <v>4</v>
      </c>
      <c r="D44" s="21">
        <v>98</v>
      </c>
      <c r="F44" s="30"/>
      <c r="G44" s="29" t="s">
        <v>28</v>
      </c>
      <c r="H44" s="22">
        <f>H45-H43</f>
        <v>49.805893167576066</v>
      </c>
      <c r="I44" s="3"/>
      <c r="J44" s="3"/>
    </row>
    <row r="45" spans="1:13" x14ac:dyDescent="0.25">
      <c r="A45" s="1">
        <v>62</v>
      </c>
      <c r="B45" s="26">
        <v>1</v>
      </c>
      <c r="C45" s="1" t="s">
        <v>4</v>
      </c>
      <c r="D45" s="21">
        <v>62</v>
      </c>
      <c r="F45" s="30"/>
      <c r="G45" s="29" t="s">
        <v>10</v>
      </c>
      <c r="H45" s="22">
        <f>AVERAGE(A2:A644)</f>
        <v>52.712286158631414</v>
      </c>
      <c r="I45" s="3"/>
      <c r="J45" s="3"/>
    </row>
    <row r="46" spans="1:13" x14ac:dyDescent="0.25">
      <c r="A46" s="1">
        <v>64</v>
      </c>
      <c r="B46" s="26">
        <v>9.9525700831115907E-2</v>
      </c>
      <c r="C46" s="1" t="s">
        <v>4</v>
      </c>
      <c r="D46" s="21">
        <v>0</v>
      </c>
      <c r="F46" s="30"/>
      <c r="G46" s="31" t="s">
        <v>29</v>
      </c>
      <c r="H46" s="32">
        <f>H45+H43</f>
        <v>55.618679149686763</v>
      </c>
      <c r="I46" s="33"/>
      <c r="J46" s="33"/>
    </row>
    <row r="47" spans="1:13" x14ac:dyDescent="0.25">
      <c r="A47" s="1">
        <v>74</v>
      </c>
      <c r="B47" s="26">
        <v>0.40722484588623098</v>
      </c>
      <c r="C47" s="1" t="s">
        <v>4</v>
      </c>
      <c r="D47" s="21">
        <v>74</v>
      </c>
      <c r="F47" s="5"/>
      <c r="G47" s="19"/>
      <c r="H47" s="19"/>
      <c r="I47" s="19"/>
      <c r="J47" s="19"/>
    </row>
    <row r="48" spans="1:13" x14ac:dyDescent="0.25">
      <c r="A48" s="1">
        <v>74</v>
      </c>
      <c r="B48" s="26">
        <v>0.40722484588623098</v>
      </c>
      <c r="C48" s="1" t="s">
        <v>4</v>
      </c>
      <c r="D48" s="21">
        <v>74</v>
      </c>
      <c r="F48" s="5"/>
      <c r="G48" s="10" t="s">
        <v>30</v>
      </c>
      <c r="H48" s="3" t="s">
        <v>0</v>
      </c>
      <c r="I48" s="3" t="s">
        <v>1</v>
      </c>
      <c r="J48" s="3" t="s">
        <v>34</v>
      </c>
    </row>
    <row r="49" spans="1:10" x14ac:dyDescent="0.25">
      <c r="A49" s="1">
        <v>74</v>
      </c>
      <c r="B49" s="26">
        <v>0.40722484588623098</v>
      </c>
      <c r="C49" s="1" t="s">
        <v>4</v>
      </c>
      <c r="D49" s="21">
        <v>74</v>
      </c>
      <c r="F49" s="5"/>
      <c r="G49" s="11" t="s">
        <v>31</v>
      </c>
      <c r="H49" s="3">
        <f>(H46-H44)/6</f>
        <v>0.96879766368511611</v>
      </c>
      <c r="I49" s="3"/>
      <c r="J49" s="3"/>
    </row>
    <row r="50" spans="1:10" x14ac:dyDescent="0.25">
      <c r="A50" s="1">
        <v>74</v>
      </c>
      <c r="B50" s="26">
        <v>0.42613627910613999</v>
      </c>
      <c r="C50" s="1" t="s">
        <v>4</v>
      </c>
      <c r="D50" s="21">
        <v>74</v>
      </c>
      <c r="F50" s="5"/>
      <c r="G50" s="11" t="s">
        <v>32</v>
      </c>
      <c r="H50" s="22">
        <f>H44-H49</f>
        <v>48.83709550389095</v>
      </c>
      <c r="I50" s="3"/>
      <c r="J50" s="3"/>
    </row>
    <row r="51" spans="1:10" x14ac:dyDescent="0.25">
      <c r="A51" s="1">
        <v>74</v>
      </c>
      <c r="B51" s="26">
        <v>0.42613627910613999</v>
      </c>
      <c r="C51" s="1" t="s">
        <v>4</v>
      </c>
      <c r="D51" s="21">
        <v>74</v>
      </c>
      <c r="F51" s="5"/>
      <c r="G51" s="11" t="s">
        <v>33</v>
      </c>
      <c r="H51" s="22">
        <f>H46+H49</f>
        <v>56.587476813371879</v>
      </c>
      <c r="I51" s="3"/>
      <c r="J51" s="3"/>
    </row>
    <row r="52" spans="1:10" x14ac:dyDescent="0.25">
      <c r="A52" s="1">
        <v>74</v>
      </c>
      <c r="B52" s="26">
        <v>0.42613627910613999</v>
      </c>
      <c r="C52" s="1" t="s">
        <v>4</v>
      </c>
      <c r="D52" s="21">
        <v>74</v>
      </c>
      <c r="F52" s="5"/>
      <c r="G52" s="5"/>
      <c r="H52" s="5"/>
      <c r="I52" s="5"/>
      <c r="J52" s="5"/>
    </row>
    <row r="53" spans="1:10" x14ac:dyDescent="0.25">
      <c r="A53" s="1">
        <v>74</v>
      </c>
      <c r="B53" s="26">
        <v>0.43242065906524702</v>
      </c>
      <c r="C53" s="1" t="s">
        <v>4</v>
      </c>
      <c r="D53" s="21">
        <v>74</v>
      </c>
      <c r="F53" s="5"/>
      <c r="G53" s="5"/>
      <c r="H53" s="5"/>
      <c r="I53" s="5"/>
      <c r="J53" s="5"/>
    </row>
    <row r="54" spans="1:10" x14ac:dyDescent="0.25">
      <c r="A54" s="1">
        <v>74</v>
      </c>
      <c r="B54" s="26">
        <v>0.43242065906524702</v>
      </c>
      <c r="C54" s="1" t="s">
        <v>4</v>
      </c>
      <c r="D54" s="21">
        <v>74</v>
      </c>
      <c r="F54" s="5"/>
      <c r="G54" s="5"/>
      <c r="H54" s="5"/>
      <c r="I54" s="5"/>
      <c r="J54" s="5"/>
    </row>
    <row r="55" spans="1:10" x14ac:dyDescent="0.25">
      <c r="A55" s="1">
        <v>74</v>
      </c>
      <c r="B55" s="26">
        <v>0.43242065906524702</v>
      </c>
      <c r="C55" s="1" t="s">
        <v>4</v>
      </c>
      <c r="D55" s="21">
        <v>74</v>
      </c>
      <c r="F55" s="5"/>
      <c r="G55" s="5"/>
      <c r="H55" s="5"/>
      <c r="I55" s="5"/>
      <c r="J55" s="5"/>
    </row>
    <row r="56" spans="1:10" x14ac:dyDescent="0.25">
      <c r="A56" s="1">
        <v>74</v>
      </c>
      <c r="B56" s="26">
        <v>0.43242065906524702</v>
      </c>
      <c r="C56" s="1" t="s">
        <v>4</v>
      </c>
      <c r="D56" s="21">
        <v>74</v>
      </c>
    </row>
    <row r="57" spans="1:10" x14ac:dyDescent="0.25">
      <c r="A57" s="1">
        <v>74</v>
      </c>
      <c r="B57" s="26">
        <v>0.43259735107421898</v>
      </c>
      <c r="C57" s="1" t="s">
        <v>4</v>
      </c>
      <c r="D57" s="21">
        <v>0</v>
      </c>
    </row>
    <row r="58" spans="1:10" x14ac:dyDescent="0.25">
      <c r="A58" s="1">
        <v>74</v>
      </c>
      <c r="B58" s="26">
        <v>0.464758682250977</v>
      </c>
      <c r="C58" s="1" t="s">
        <v>4</v>
      </c>
      <c r="D58" s="21">
        <v>74</v>
      </c>
    </row>
    <row r="59" spans="1:10" x14ac:dyDescent="0.25">
      <c r="A59" s="1">
        <v>74</v>
      </c>
      <c r="B59" s="26">
        <v>0.67523403167724505</v>
      </c>
      <c r="C59" s="1" t="s">
        <v>4</v>
      </c>
      <c r="D59" s="21">
        <v>74</v>
      </c>
    </row>
    <row r="60" spans="1:10" x14ac:dyDescent="0.25">
      <c r="A60" s="1">
        <v>74</v>
      </c>
      <c r="B60" s="26">
        <v>0.96711616516113297</v>
      </c>
      <c r="C60" s="1" t="s">
        <v>4</v>
      </c>
      <c r="D60" s="21">
        <v>74</v>
      </c>
    </row>
    <row r="61" spans="1:10" x14ac:dyDescent="0.25">
      <c r="A61" s="1">
        <v>77</v>
      </c>
      <c r="B61" s="26">
        <v>0.53409688472747796</v>
      </c>
      <c r="C61" s="1" t="s">
        <v>4</v>
      </c>
      <c r="D61" s="21">
        <v>77</v>
      </c>
    </row>
    <row r="62" spans="1:10" x14ac:dyDescent="0.25">
      <c r="A62" s="1">
        <v>77</v>
      </c>
      <c r="B62" s="26">
        <v>0.83085465431213401</v>
      </c>
      <c r="C62" s="1" t="s">
        <v>4</v>
      </c>
      <c r="D62" s="21">
        <v>77</v>
      </c>
    </row>
    <row r="63" spans="1:10" x14ac:dyDescent="0.25">
      <c r="A63" s="1">
        <v>77</v>
      </c>
      <c r="B63" s="26">
        <v>0.83085465431213401</v>
      </c>
      <c r="C63" s="1" t="s">
        <v>4</v>
      </c>
      <c r="D63" s="21">
        <v>77</v>
      </c>
    </row>
    <row r="64" spans="1:10" x14ac:dyDescent="0.25">
      <c r="A64" s="1">
        <v>77</v>
      </c>
      <c r="B64" s="26">
        <v>0.94468884468078496</v>
      </c>
      <c r="C64" s="1" t="s">
        <v>4</v>
      </c>
      <c r="D64" s="21">
        <v>77</v>
      </c>
    </row>
    <row r="65" spans="1:4" x14ac:dyDescent="0.25">
      <c r="A65" s="1">
        <v>77</v>
      </c>
      <c r="B65" s="26">
        <v>0.94468884468078496</v>
      </c>
      <c r="C65" s="1" t="s">
        <v>4</v>
      </c>
      <c r="D65" s="21">
        <v>77</v>
      </c>
    </row>
    <row r="66" spans="1:4" x14ac:dyDescent="0.25">
      <c r="A66" s="1">
        <v>82</v>
      </c>
      <c r="B66" s="26">
        <v>0.39379632472991899</v>
      </c>
      <c r="C66" s="1" t="s">
        <v>4</v>
      </c>
      <c r="D66" s="21">
        <v>82</v>
      </c>
    </row>
    <row r="67" spans="1:4" x14ac:dyDescent="0.25">
      <c r="A67" s="1">
        <v>82</v>
      </c>
      <c r="B67" s="26">
        <v>0.44311625957488998</v>
      </c>
      <c r="C67" s="1" t="s">
        <v>4</v>
      </c>
      <c r="D67" s="21">
        <v>82</v>
      </c>
    </row>
    <row r="68" spans="1:4" x14ac:dyDescent="0.25">
      <c r="A68" s="1">
        <v>85</v>
      </c>
      <c r="B68" s="26">
        <v>0.55168402194976796</v>
      </c>
      <c r="C68" s="1" t="s">
        <v>4</v>
      </c>
      <c r="D68" s="21">
        <v>85</v>
      </c>
    </row>
    <row r="69" spans="1:4" x14ac:dyDescent="0.25">
      <c r="A69" s="1">
        <v>85</v>
      </c>
      <c r="B69" s="26">
        <v>0.55615859031677295</v>
      </c>
      <c r="C69" s="1" t="s">
        <v>4</v>
      </c>
      <c r="D69" s="21">
        <v>85</v>
      </c>
    </row>
    <row r="70" spans="1:4" x14ac:dyDescent="0.25">
      <c r="A70" s="1">
        <v>87</v>
      </c>
      <c r="B70" s="26">
        <v>0.72935614585876496</v>
      </c>
      <c r="C70" s="1" t="s">
        <v>4</v>
      </c>
      <c r="D70" s="21">
        <v>87</v>
      </c>
    </row>
    <row r="71" spans="1:4" x14ac:dyDescent="0.25">
      <c r="A71" s="1">
        <v>87</v>
      </c>
      <c r="B71" s="26">
        <v>0.87405686378478997</v>
      </c>
      <c r="C71" s="1" t="s">
        <v>4</v>
      </c>
      <c r="D71" s="21">
        <v>87</v>
      </c>
    </row>
    <row r="72" spans="1:4" x14ac:dyDescent="0.25">
      <c r="A72" s="1">
        <v>87</v>
      </c>
      <c r="B72" s="26">
        <v>0.900249004364014</v>
      </c>
      <c r="C72" s="1" t="s">
        <v>4</v>
      </c>
      <c r="D72" s="21">
        <v>87</v>
      </c>
    </row>
    <row r="73" spans="1:4" x14ac:dyDescent="0.25">
      <c r="A73" s="1">
        <v>92</v>
      </c>
      <c r="B73" s="26">
        <v>0.297417861223221</v>
      </c>
      <c r="C73" s="1" t="s">
        <v>4</v>
      </c>
      <c r="D73" s="21">
        <v>0</v>
      </c>
    </row>
    <row r="74" spans="1:4" x14ac:dyDescent="0.25">
      <c r="A74" s="1">
        <v>93</v>
      </c>
      <c r="B74" s="26">
        <v>0.51485638618469198</v>
      </c>
      <c r="C74" s="1" t="s">
        <v>4</v>
      </c>
      <c r="D74" s="21">
        <v>93</v>
      </c>
    </row>
    <row r="75" spans="1:4" x14ac:dyDescent="0.25">
      <c r="A75" s="1">
        <v>96</v>
      </c>
      <c r="B75" s="26">
        <v>0.40341179370880098</v>
      </c>
      <c r="C75" s="1" t="s">
        <v>4</v>
      </c>
      <c r="D75" s="21">
        <v>96</v>
      </c>
    </row>
    <row r="76" spans="1:4" x14ac:dyDescent="0.25">
      <c r="A76" s="1">
        <v>96</v>
      </c>
      <c r="B76" s="26">
        <v>0.67744207382202104</v>
      </c>
      <c r="C76" s="1" t="s">
        <v>4</v>
      </c>
      <c r="D76" s="21">
        <v>96</v>
      </c>
    </row>
    <row r="77" spans="1:4" x14ac:dyDescent="0.25">
      <c r="A77" s="1">
        <v>96</v>
      </c>
      <c r="B77" s="26">
        <v>0.69811563491821305</v>
      </c>
      <c r="C77" s="1" t="s">
        <v>4</v>
      </c>
      <c r="D77" s="21">
        <v>96</v>
      </c>
    </row>
    <row r="78" spans="1:4" x14ac:dyDescent="0.25">
      <c r="A78" s="1">
        <v>96</v>
      </c>
      <c r="B78" s="26">
        <v>0.85464706420898495</v>
      </c>
      <c r="C78" s="1" t="s">
        <v>4</v>
      </c>
      <c r="D78" s="21">
        <v>96</v>
      </c>
    </row>
    <row r="79" spans="1:4" x14ac:dyDescent="0.25">
      <c r="A79" s="1">
        <v>98</v>
      </c>
      <c r="B79" s="26">
        <v>0.46909246444702202</v>
      </c>
      <c r="C79" s="1" t="s">
        <v>4</v>
      </c>
      <c r="D79" s="21">
        <v>98</v>
      </c>
    </row>
    <row r="80" spans="1:4" x14ac:dyDescent="0.25">
      <c r="A80" s="1">
        <v>98</v>
      </c>
      <c r="B80" s="26">
        <v>0.70527186393737795</v>
      </c>
      <c r="C80" s="1" t="s">
        <v>4</v>
      </c>
      <c r="D80" s="21">
        <v>98</v>
      </c>
    </row>
    <row r="81" spans="1:4" x14ac:dyDescent="0.25">
      <c r="A81" s="1">
        <v>98</v>
      </c>
      <c r="B81" s="26">
        <v>0.86867280006408698</v>
      </c>
      <c r="C81" s="1" t="s">
        <v>4</v>
      </c>
      <c r="D81" s="21">
        <v>98</v>
      </c>
    </row>
    <row r="82" spans="1:4" x14ac:dyDescent="0.25">
      <c r="A82" s="1">
        <v>99</v>
      </c>
      <c r="B82" s="26">
        <v>0.676407194137573</v>
      </c>
      <c r="C82" s="1" t="s">
        <v>4</v>
      </c>
      <c r="D82" s="21">
        <v>99</v>
      </c>
    </row>
    <row r="83" spans="1:4" x14ac:dyDescent="0.25">
      <c r="A83" s="1">
        <v>99</v>
      </c>
      <c r="B83" s="26">
        <v>0.74435572624206503</v>
      </c>
      <c r="C83" s="1" t="s">
        <v>4</v>
      </c>
      <c r="D83" s="21">
        <v>99</v>
      </c>
    </row>
    <row r="84" spans="1:4" x14ac:dyDescent="0.25">
      <c r="A84" s="1">
        <v>99</v>
      </c>
      <c r="B84" s="26">
        <v>0.84518079757690401</v>
      </c>
      <c r="C84" s="1" t="s">
        <v>4</v>
      </c>
      <c r="D84" s="21">
        <v>99</v>
      </c>
    </row>
    <row r="85" spans="1:4" x14ac:dyDescent="0.25">
      <c r="A85" s="1">
        <v>99</v>
      </c>
      <c r="B85" s="26">
        <v>0.914898109436035</v>
      </c>
      <c r="C85" s="1" t="s">
        <v>4</v>
      </c>
      <c r="D85" s="21">
        <v>99</v>
      </c>
    </row>
    <row r="86" spans="1:4" x14ac:dyDescent="0.25">
      <c r="A86" s="1">
        <v>102</v>
      </c>
      <c r="B86" s="26">
        <v>0.92584857940673804</v>
      </c>
      <c r="C86" s="1" t="s">
        <v>4</v>
      </c>
      <c r="D86" s="21">
        <v>102</v>
      </c>
    </row>
    <row r="87" spans="1:4" x14ac:dyDescent="0.25">
      <c r="A87" s="1">
        <v>103</v>
      </c>
      <c r="B87" s="26">
        <v>0.42001163959503202</v>
      </c>
      <c r="C87" s="1" t="s">
        <v>4</v>
      </c>
      <c r="D87" s="21">
        <v>103</v>
      </c>
    </row>
    <row r="88" spans="1:4" x14ac:dyDescent="0.25">
      <c r="A88" s="1">
        <v>103</v>
      </c>
      <c r="B88" s="26">
        <v>0.42001163959503202</v>
      </c>
      <c r="C88" s="1" t="s">
        <v>4</v>
      </c>
      <c r="D88" s="21">
        <v>103</v>
      </c>
    </row>
    <row r="89" spans="1:4" x14ac:dyDescent="0.25">
      <c r="A89" s="1">
        <v>103</v>
      </c>
      <c r="B89" s="26">
        <v>0.43212304115295302</v>
      </c>
      <c r="C89" s="1" t="s">
        <v>4</v>
      </c>
      <c r="D89" s="21">
        <v>103</v>
      </c>
    </row>
    <row r="90" spans="1:4" x14ac:dyDescent="0.25">
      <c r="A90" s="1">
        <v>103</v>
      </c>
      <c r="B90" s="26">
        <v>0.43212304115295302</v>
      </c>
      <c r="C90" s="1" t="s">
        <v>4</v>
      </c>
      <c r="D90" s="21">
        <v>103</v>
      </c>
    </row>
    <row r="91" spans="1:4" x14ac:dyDescent="0.25">
      <c r="A91" s="1">
        <v>103</v>
      </c>
      <c r="B91" s="26">
        <v>0.43212304115295302</v>
      </c>
      <c r="C91" s="1" t="s">
        <v>4</v>
      </c>
      <c r="D91" s="21">
        <v>103</v>
      </c>
    </row>
    <row r="92" spans="1:4" x14ac:dyDescent="0.25">
      <c r="A92" s="1">
        <v>104</v>
      </c>
      <c r="B92" s="26">
        <v>0.32992341518402102</v>
      </c>
      <c r="C92" s="1" t="s">
        <v>4</v>
      </c>
      <c r="D92" s="21">
        <v>0</v>
      </c>
    </row>
    <row r="93" spans="1:4" x14ac:dyDescent="0.25">
      <c r="A93" s="1">
        <v>104</v>
      </c>
      <c r="B93" s="26">
        <v>0.86618413925170901</v>
      </c>
      <c r="C93" s="1" t="s">
        <v>4</v>
      </c>
      <c r="D93" s="21">
        <v>104</v>
      </c>
    </row>
    <row r="94" spans="1:4" x14ac:dyDescent="0.25">
      <c r="A94" s="1">
        <v>106</v>
      </c>
      <c r="B94" s="26">
        <v>0.31746000051498402</v>
      </c>
      <c r="C94" s="1" t="s">
        <v>4</v>
      </c>
      <c r="D94" s="21">
        <v>77</v>
      </c>
    </row>
    <row r="95" spans="1:4" x14ac:dyDescent="0.25">
      <c r="A95" s="1">
        <v>106</v>
      </c>
      <c r="B95" s="26">
        <v>0.31746000051498402</v>
      </c>
      <c r="C95" s="1" t="s">
        <v>4</v>
      </c>
      <c r="D95" s="21">
        <v>77</v>
      </c>
    </row>
    <row r="96" spans="1:4" x14ac:dyDescent="0.25">
      <c r="A96" s="1">
        <v>106</v>
      </c>
      <c r="B96" s="26">
        <v>0.76735858917236299</v>
      </c>
      <c r="C96" s="1" t="s">
        <v>4</v>
      </c>
      <c r="D96" s="21">
        <v>106</v>
      </c>
    </row>
    <row r="97" spans="1:4" x14ac:dyDescent="0.25">
      <c r="A97" s="1">
        <v>107</v>
      </c>
      <c r="B97" s="26">
        <v>0.76028347015380904</v>
      </c>
      <c r="C97" s="1" t="s">
        <v>4</v>
      </c>
      <c r="D97" s="21">
        <v>107</v>
      </c>
    </row>
    <row r="98" spans="1:4" x14ac:dyDescent="0.25">
      <c r="A98" s="1">
        <v>108</v>
      </c>
      <c r="B98" s="26">
        <v>0.84557809829711805</v>
      </c>
      <c r="C98" s="1" t="s">
        <v>4</v>
      </c>
      <c r="D98" s="21">
        <v>74</v>
      </c>
    </row>
    <row r="99" spans="1:4" x14ac:dyDescent="0.25">
      <c r="A99" s="1">
        <v>108</v>
      </c>
      <c r="B99" s="26">
        <v>1</v>
      </c>
      <c r="C99" s="1" t="s">
        <v>4</v>
      </c>
      <c r="D99" s="21">
        <v>108</v>
      </c>
    </row>
    <row r="100" spans="1:4" x14ac:dyDescent="0.25">
      <c r="A100" s="1">
        <v>109</v>
      </c>
      <c r="B100" s="26">
        <v>0.30448662042617702</v>
      </c>
      <c r="C100" s="1" t="s">
        <v>4</v>
      </c>
      <c r="D100" s="21">
        <v>0</v>
      </c>
    </row>
    <row r="101" spans="1:4" x14ac:dyDescent="0.25">
      <c r="A101" s="1">
        <v>110</v>
      </c>
      <c r="B101" s="26">
        <v>6.2605915069580007E-2</v>
      </c>
      <c r="C101" s="1" t="s">
        <v>4</v>
      </c>
      <c r="D101" s="21">
        <v>0</v>
      </c>
    </row>
    <row r="102" spans="1:4" x14ac:dyDescent="0.25">
      <c r="A102" s="1">
        <v>110</v>
      </c>
      <c r="B102" s="26">
        <v>7.1455481052399003E-2</v>
      </c>
      <c r="C102" s="1" t="s">
        <v>4</v>
      </c>
      <c r="D102" s="21">
        <v>0</v>
      </c>
    </row>
    <row r="103" spans="1:4" x14ac:dyDescent="0.25">
      <c r="A103" s="1">
        <v>110</v>
      </c>
      <c r="B103" s="26">
        <v>0.616808557510376</v>
      </c>
      <c r="C103" s="1" t="s">
        <v>4</v>
      </c>
      <c r="D103" s="21">
        <v>110</v>
      </c>
    </row>
    <row r="104" spans="1:4" x14ac:dyDescent="0.25">
      <c r="A104" s="1">
        <v>116</v>
      </c>
      <c r="B104" s="26">
        <v>0.41068730354309002</v>
      </c>
      <c r="C104" s="1" t="s">
        <v>4</v>
      </c>
      <c r="D104" s="21">
        <v>116</v>
      </c>
    </row>
    <row r="105" spans="1:4" x14ac:dyDescent="0.25">
      <c r="A105" s="1">
        <v>118</v>
      </c>
      <c r="B105" s="26">
        <v>0.43379685878753699</v>
      </c>
      <c r="C105" s="1" t="s">
        <v>4</v>
      </c>
      <c r="D105" s="21">
        <v>4</v>
      </c>
    </row>
    <row r="106" spans="1:4" x14ac:dyDescent="0.25">
      <c r="A106" s="1">
        <v>118</v>
      </c>
      <c r="B106" s="26">
        <v>0.50005729198455795</v>
      </c>
      <c r="C106" s="1" t="s">
        <v>4</v>
      </c>
      <c r="D106" s="21">
        <v>81</v>
      </c>
    </row>
    <row r="107" spans="1:4" x14ac:dyDescent="0.25">
      <c r="A107" s="1">
        <v>118</v>
      </c>
      <c r="B107" s="26">
        <v>0.51015946865081796</v>
      </c>
      <c r="C107" s="1" t="s">
        <v>4</v>
      </c>
      <c r="D107" s="21">
        <v>81</v>
      </c>
    </row>
    <row r="108" spans="1:4" x14ac:dyDescent="0.25">
      <c r="A108" s="1">
        <v>118</v>
      </c>
      <c r="B108" s="26">
        <v>0.85925340652465698</v>
      </c>
      <c r="C108" s="1" t="s">
        <v>4</v>
      </c>
      <c r="D108" s="21">
        <v>118</v>
      </c>
    </row>
    <row r="109" spans="1:4" x14ac:dyDescent="0.25">
      <c r="A109" s="1">
        <v>2</v>
      </c>
      <c r="B109" s="26">
        <v>0.69690771102905302</v>
      </c>
      <c r="C109" s="1" t="s">
        <v>4</v>
      </c>
      <c r="D109" s="21">
        <v>2</v>
      </c>
    </row>
    <row r="110" spans="1:4" x14ac:dyDescent="0.25">
      <c r="A110" s="1">
        <v>2</v>
      </c>
      <c r="B110" s="26">
        <v>0.83491039276123002</v>
      </c>
      <c r="C110" s="1" t="s">
        <v>4</v>
      </c>
      <c r="D110" s="21">
        <v>2</v>
      </c>
    </row>
    <row r="111" spans="1:4" x14ac:dyDescent="0.25">
      <c r="A111" s="1">
        <v>2</v>
      </c>
      <c r="B111" s="26">
        <v>0.90043067932128895</v>
      </c>
      <c r="C111" s="1" t="s">
        <v>4</v>
      </c>
      <c r="D111" s="21">
        <v>2</v>
      </c>
    </row>
    <row r="112" spans="1:4" x14ac:dyDescent="0.25">
      <c r="A112" s="1">
        <v>2</v>
      </c>
      <c r="B112" s="26">
        <v>1</v>
      </c>
      <c r="C112" s="1" t="s">
        <v>4</v>
      </c>
      <c r="D112" s="21">
        <v>2</v>
      </c>
    </row>
    <row r="113" spans="1:4" x14ac:dyDescent="0.25">
      <c r="A113" s="1">
        <v>2</v>
      </c>
      <c r="B113" s="26">
        <v>1</v>
      </c>
      <c r="C113" s="1" t="s">
        <v>4</v>
      </c>
      <c r="D113" s="21">
        <v>2</v>
      </c>
    </row>
    <row r="114" spans="1:4" x14ac:dyDescent="0.25">
      <c r="A114" s="1">
        <v>3</v>
      </c>
      <c r="B114" s="26">
        <v>0.40918843746185202</v>
      </c>
      <c r="C114" s="1" t="s">
        <v>4</v>
      </c>
      <c r="D114" s="21">
        <v>32</v>
      </c>
    </row>
    <row r="115" spans="1:4" x14ac:dyDescent="0.25">
      <c r="A115" s="1">
        <v>3</v>
      </c>
      <c r="B115" s="26">
        <v>0.919871377944946</v>
      </c>
      <c r="C115" s="1" t="s">
        <v>4</v>
      </c>
      <c r="D115" s="21">
        <v>3</v>
      </c>
    </row>
    <row r="116" spans="1:4" x14ac:dyDescent="0.25">
      <c r="A116" s="1">
        <v>3</v>
      </c>
      <c r="B116" s="26">
        <v>0.919871377944946</v>
      </c>
      <c r="C116" s="1" t="s">
        <v>4</v>
      </c>
      <c r="D116" s="21">
        <v>3</v>
      </c>
    </row>
    <row r="117" spans="1:4" x14ac:dyDescent="0.25">
      <c r="A117" s="1">
        <v>3</v>
      </c>
      <c r="B117" s="26">
        <v>0.94360952377319296</v>
      </c>
      <c r="C117" s="1" t="s">
        <v>4</v>
      </c>
      <c r="D117" s="21">
        <v>3</v>
      </c>
    </row>
    <row r="118" spans="1:4" x14ac:dyDescent="0.25">
      <c r="A118" s="1">
        <v>3</v>
      </c>
      <c r="B118" s="26">
        <v>0.99974651336669895</v>
      </c>
      <c r="C118" s="1" t="s">
        <v>4</v>
      </c>
      <c r="D118" s="21">
        <v>3</v>
      </c>
    </row>
    <row r="119" spans="1:4" x14ac:dyDescent="0.25">
      <c r="A119" s="1">
        <v>3</v>
      </c>
      <c r="B119" s="26">
        <v>1</v>
      </c>
      <c r="C119" s="1" t="s">
        <v>4</v>
      </c>
      <c r="D119" s="21">
        <v>3</v>
      </c>
    </row>
    <row r="120" spans="1:4" x14ac:dyDescent="0.25">
      <c r="A120" s="1">
        <v>3</v>
      </c>
      <c r="B120" s="26">
        <v>1</v>
      </c>
      <c r="C120" s="1" t="s">
        <v>4</v>
      </c>
      <c r="D120" s="21">
        <v>3</v>
      </c>
    </row>
    <row r="121" spans="1:4" x14ac:dyDescent="0.25">
      <c r="A121" s="1">
        <v>24</v>
      </c>
      <c r="B121" s="26">
        <v>0.31288404464721697</v>
      </c>
      <c r="C121" s="1" t="s">
        <v>4</v>
      </c>
      <c r="D121" s="21">
        <v>24</v>
      </c>
    </row>
    <row r="122" spans="1:4" x14ac:dyDescent="0.25">
      <c r="A122" s="1">
        <v>25</v>
      </c>
      <c r="B122" s="26">
        <v>0.32221219539642298</v>
      </c>
      <c r="C122" s="1" t="s">
        <v>4</v>
      </c>
      <c r="D122" s="21">
        <v>2</v>
      </c>
    </row>
    <row r="123" spans="1:4" x14ac:dyDescent="0.25">
      <c r="A123" s="1">
        <v>25</v>
      </c>
      <c r="B123" s="26">
        <v>0.32513389587402303</v>
      </c>
      <c r="C123" s="1" t="s">
        <v>4</v>
      </c>
      <c r="D123" s="21">
        <v>2</v>
      </c>
    </row>
    <row r="124" spans="1:4" x14ac:dyDescent="0.25">
      <c r="A124" s="1">
        <v>25</v>
      </c>
      <c r="B124" s="26">
        <v>0.33370647430419897</v>
      </c>
      <c r="C124" s="1" t="s">
        <v>4</v>
      </c>
      <c r="D124" s="21">
        <v>25</v>
      </c>
    </row>
    <row r="125" spans="1:4" x14ac:dyDescent="0.25">
      <c r="A125" s="1">
        <v>25</v>
      </c>
      <c r="B125" s="26">
        <v>0.49273960590362598</v>
      </c>
      <c r="C125" s="1" t="s">
        <v>4</v>
      </c>
      <c r="D125" s="21">
        <v>25</v>
      </c>
    </row>
    <row r="126" spans="1:4" x14ac:dyDescent="0.25">
      <c r="A126" s="1">
        <v>28</v>
      </c>
      <c r="B126" s="26">
        <v>0.36466460227966202</v>
      </c>
      <c r="C126" s="1" t="s">
        <v>4</v>
      </c>
      <c r="D126" s="21">
        <v>3</v>
      </c>
    </row>
    <row r="127" spans="1:4" x14ac:dyDescent="0.25">
      <c r="A127" s="1">
        <v>29</v>
      </c>
      <c r="B127" s="26">
        <v>1</v>
      </c>
      <c r="C127" s="1" t="s">
        <v>4</v>
      </c>
      <c r="D127" s="21">
        <v>29</v>
      </c>
    </row>
    <row r="128" spans="1:4" x14ac:dyDescent="0.25">
      <c r="A128" s="1">
        <v>32</v>
      </c>
      <c r="B128" s="26">
        <v>0.38729597330093302</v>
      </c>
      <c r="C128" s="1" t="s">
        <v>4</v>
      </c>
      <c r="D128" s="21">
        <v>32</v>
      </c>
    </row>
    <row r="129" spans="1:4" x14ac:dyDescent="0.25">
      <c r="A129" s="1">
        <v>40</v>
      </c>
      <c r="B129" s="26">
        <v>0.270009875297546</v>
      </c>
      <c r="C129" s="1" t="s">
        <v>4</v>
      </c>
      <c r="D129" s="21">
        <v>40</v>
      </c>
    </row>
    <row r="130" spans="1:4" x14ac:dyDescent="0.25">
      <c r="A130" s="1">
        <v>49</v>
      </c>
      <c r="B130" s="26">
        <v>0.244655114412308</v>
      </c>
      <c r="C130" s="1" t="s">
        <v>4</v>
      </c>
      <c r="D130" s="21">
        <v>96</v>
      </c>
    </row>
    <row r="131" spans="1:4" x14ac:dyDescent="0.25">
      <c r="A131" s="1">
        <v>55</v>
      </c>
      <c r="B131" s="26">
        <v>0.89975056648254403</v>
      </c>
      <c r="C131" s="1" t="s">
        <v>4</v>
      </c>
      <c r="D131" s="21">
        <v>55</v>
      </c>
    </row>
    <row r="132" spans="1:4" x14ac:dyDescent="0.25">
      <c r="A132" s="1">
        <v>55</v>
      </c>
      <c r="B132" s="26">
        <v>0.95579504966735795</v>
      </c>
      <c r="C132" s="1" t="s">
        <v>4</v>
      </c>
      <c r="D132" s="21">
        <v>55</v>
      </c>
    </row>
    <row r="133" spans="1:4" x14ac:dyDescent="0.25">
      <c r="A133" s="1">
        <v>60</v>
      </c>
      <c r="B133" s="26">
        <v>0.52195680141448997</v>
      </c>
      <c r="C133" s="1" t="s">
        <v>4</v>
      </c>
      <c r="D133" s="21">
        <v>60</v>
      </c>
    </row>
    <row r="134" spans="1:4" x14ac:dyDescent="0.25">
      <c r="A134" s="1">
        <v>60</v>
      </c>
      <c r="B134" s="26">
        <v>0.748655033111572</v>
      </c>
      <c r="C134" s="1" t="s">
        <v>4</v>
      </c>
      <c r="D134" s="21">
        <v>60</v>
      </c>
    </row>
    <row r="135" spans="1:4" x14ac:dyDescent="0.25">
      <c r="A135" s="1">
        <v>68</v>
      </c>
      <c r="B135" s="26">
        <v>0.546785759925842</v>
      </c>
      <c r="C135" s="1" t="s">
        <v>4</v>
      </c>
      <c r="D135" s="21">
        <v>19</v>
      </c>
    </row>
    <row r="136" spans="1:4" x14ac:dyDescent="0.25">
      <c r="A136" s="1">
        <v>74</v>
      </c>
      <c r="B136" s="26">
        <v>0.30944552421569799</v>
      </c>
      <c r="C136" s="1" t="s">
        <v>4</v>
      </c>
      <c r="D136" s="21">
        <v>2</v>
      </c>
    </row>
    <row r="137" spans="1:4" x14ac:dyDescent="0.25">
      <c r="A137" s="1">
        <v>74</v>
      </c>
      <c r="B137" s="26">
        <v>0.42052137851715099</v>
      </c>
      <c r="C137" s="1" t="s">
        <v>4</v>
      </c>
      <c r="D137" s="21">
        <v>2</v>
      </c>
    </row>
    <row r="138" spans="1:4" x14ac:dyDescent="0.25">
      <c r="A138" s="1">
        <v>74</v>
      </c>
      <c r="B138" s="26">
        <v>0.53816983699798604</v>
      </c>
      <c r="C138" s="1" t="s">
        <v>4</v>
      </c>
      <c r="D138" s="21">
        <v>74</v>
      </c>
    </row>
    <row r="139" spans="1:4" x14ac:dyDescent="0.25">
      <c r="A139" s="1">
        <v>74</v>
      </c>
      <c r="B139" s="26">
        <v>1</v>
      </c>
      <c r="C139" s="1" t="s">
        <v>4</v>
      </c>
      <c r="D139" s="21">
        <v>74</v>
      </c>
    </row>
    <row r="140" spans="1:4" x14ac:dyDescent="0.25">
      <c r="A140" s="1">
        <v>96</v>
      </c>
      <c r="B140" s="26">
        <v>0.22574767470359799</v>
      </c>
      <c r="C140" s="1" t="s">
        <v>4</v>
      </c>
      <c r="D140" s="21">
        <v>96</v>
      </c>
    </row>
    <row r="141" spans="1:4" x14ac:dyDescent="0.25">
      <c r="A141" s="1">
        <v>96</v>
      </c>
      <c r="B141" s="26">
        <v>0.59129743576049698</v>
      </c>
      <c r="C141" s="1" t="s">
        <v>4</v>
      </c>
      <c r="D141" s="21">
        <v>96</v>
      </c>
    </row>
    <row r="142" spans="1:4" x14ac:dyDescent="0.25">
      <c r="A142" s="1">
        <v>99</v>
      </c>
      <c r="B142" s="26">
        <v>0.27975018024444598</v>
      </c>
      <c r="C142" s="1" t="s">
        <v>4</v>
      </c>
      <c r="D142" s="21">
        <v>32</v>
      </c>
    </row>
    <row r="143" spans="1:4" x14ac:dyDescent="0.25">
      <c r="A143" s="1">
        <v>108</v>
      </c>
      <c r="B143" s="26">
        <v>0.82082610130309996</v>
      </c>
      <c r="C143" s="1" t="s">
        <v>4</v>
      </c>
      <c r="D143" s="21">
        <v>108</v>
      </c>
    </row>
    <row r="144" spans="1:4" x14ac:dyDescent="0.25">
      <c r="A144" s="1">
        <v>108</v>
      </c>
      <c r="B144" s="26">
        <v>0.84557809829711805</v>
      </c>
      <c r="C144" s="1" t="s">
        <v>4</v>
      </c>
      <c r="D144" s="21">
        <v>74</v>
      </c>
    </row>
    <row r="145" spans="1:4" x14ac:dyDescent="0.25">
      <c r="A145" s="1">
        <v>110</v>
      </c>
      <c r="B145" s="26">
        <v>0.97783374786376998</v>
      </c>
      <c r="C145" s="1" t="s">
        <v>4</v>
      </c>
      <c r="D145" s="21">
        <v>110</v>
      </c>
    </row>
    <row r="146" spans="1:4" x14ac:dyDescent="0.25">
      <c r="A146" s="1">
        <v>110</v>
      </c>
      <c r="B146" s="26">
        <v>0.98263258934020903</v>
      </c>
      <c r="C146" s="1" t="s">
        <v>4</v>
      </c>
      <c r="D146" s="21">
        <v>110</v>
      </c>
    </row>
    <row r="147" spans="1:4" x14ac:dyDescent="0.25">
      <c r="A147" s="1">
        <v>111</v>
      </c>
      <c r="B147" s="26">
        <v>0.87692475318908703</v>
      </c>
      <c r="C147" s="1" t="s">
        <v>4</v>
      </c>
      <c r="D147" s="21">
        <v>111</v>
      </c>
    </row>
    <row r="148" spans="1:4" x14ac:dyDescent="0.25">
      <c r="A148" s="1">
        <v>2</v>
      </c>
      <c r="B148" s="26">
        <v>0.57234356403350795</v>
      </c>
      <c r="C148" s="1" t="s">
        <v>4</v>
      </c>
      <c r="D148" s="21">
        <v>74</v>
      </c>
    </row>
    <row r="149" spans="1:4" x14ac:dyDescent="0.25">
      <c r="A149" s="1">
        <v>2</v>
      </c>
      <c r="B149" s="26">
        <v>0.709456634521484</v>
      </c>
      <c r="C149" s="1" t="s">
        <v>4</v>
      </c>
      <c r="D149" s="21">
        <v>55</v>
      </c>
    </row>
    <row r="150" spans="1:4" x14ac:dyDescent="0.25">
      <c r="A150" s="1">
        <v>2</v>
      </c>
      <c r="B150" s="26">
        <v>1</v>
      </c>
      <c r="C150" s="1" t="s">
        <v>4</v>
      </c>
      <c r="D150" s="21">
        <v>2</v>
      </c>
    </row>
    <row r="151" spans="1:4" x14ac:dyDescent="0.25">
      <c r="A151" s="1">
        <v>3</v>
      </c>
      <c r="B151" s="26">
        <v>0.397995388507842</v>
      </c>
      <c r="C151" s="1" t="s">
        <v>4</v>
      </c>
      <c r="D151" s="21">
        <v>3</v>
      </c>
    </row>
    <row r="152" spans="1:4" x14ac:dyDescent="0.25">
      <c r="A152" s="1">
        <v>3</v>
      </c>
      <c r="B152" s="26">
        <v>0.92957630157470705</v>
      </c>
      <c r="C152" s="1" t="s">
        <v>4</v>
      </c>
      <c r="D152" s="21">
        <v>15</v>
      </c>
    </row>
    <row r="153" spans="1:4" x14ac:dyDescent="0.25">
      <c r="A153" s="1">
        <v>11</v>
      </c>
      <c r="B153" s="26">
        <v>0.85014152526855502</v>
      </c>
      <c r="C153" s="1" t="s">
        <v>4</v>
      </c>
      <c r="D153" s="21">
        <v>81</v>
      </c>
    </row>
    <row r="154" spans="1:4" x14ac:dyDescent="0.25">
      <c r="A154" s="1">
        <v>11</v>
      </c>
      <c r="B154" s="26">
        <v>1</v>
      </c>
      <c r="C154" s="1" t="s">
        <v>4</v>
      </c>
      <c r="D154" s="21">
        <v>11</v>
      </c>
    </row>
    <row r="155" spans="1:4" x14ac:dyDescent="0.25">
      <c r="A155" s="1">
        <v>19</v>
      </c>
      <c r="B155" s="26">
        <v>0.33465449810028097</v>
      </c>
      <c r="C155" s="1" t="s">
        <v>4</v>
      </c>
      <c r="D155" s="21">
        <v>0</v>
      </c>
    </row>
    <row r="156" spans="1:4" x14ac:dyDescent="0.25">
      <c r="A156" s="1">
        <v>24</v>
      </c>
      <c r="B156" s="26">
        <v>0.28962841629982</v>
      </c>
      <c r="C156" s="1" t="s">
        <v>4</v>
      </c>
      <c r="D156" s="21">
        <v>24</v>
      </c>
    </row>
    <row r="157" spans="1:4" x14ac:dyDescent="0.25">
      <c r="A157" s="1">
        <v>25</v>
      </c>
      <c r="B157" s="26">
        <v>0.33370647430419897</v>
      </c>
      <c r="C157" s="1" t="s">
        <v>4</v>
      </c>
      <c r="D157" s="21">
        <v>25</v>
      </c>
    </row>
    <row r="158" spans="1:4" x14ac:dyDescent="0.25">
      <c r="A158" s="1">
        <v>29</v>
      </c>
      <c r="B158" s="26">
        <v>0.73207139968872104</v>
      </c>
      <c r="C158" s="1" t="s">
        <v>4</v>
      </c>
      <c r="D158" s="21">
        <v>29</v>
      </c>
    </row>
    <row r="159" spans="1:4" x14ac:dyDescent="0.25">
      <c r="A159" s="1">
        <v>30</v>
      </c>
      <c r="B159" s="26">
        <v>0.46422553062438998</v>
      </c>
      <c r="C159" s="1" t="s">
        <v>4</v>
      </c>
      <c r="D159" s="21">
        <v>3</v>
      </c>
    </row>
    <row r="160" spans="1:4" x14ac:dyDescent="0.25">
      <c r="A160" s="1">
        <v>39</v>
      </c>
      <c r="B160" s="26">
        <v>0.28532915711402901</v>
      </c>
      <c r="C160" s="1" t="s">
        <v>4</v>
      </c>
      <c r="D160" s="21">
        <v>2</v>
      </c>
    </row>
    <row r="161" spans="1:4" x14ac:dyDescent="0.25">
      <c r="A161" s="1">
        <v>52</v>
      </c>
      <c r="B161" s="26">
        <v>0.28854169845581101</v>
      </c>
      <c r="C161" s="1" t="s">
        <v>4</v>
      </c>
      <c r="D161" s="21">
        <v>0</v>
      </c>
    </row>
    <row r="162" spans="1:4" x14ac:dyDescent="0.25">
      <c r="A162" s="1">
        <v>55</v>
      </c>
      <c r="B162" s="26">
        <v>0.88453645706176698</v>
      </c>
      <c r="C162" s="1" t="s">
        <v>4</v>
      </c>
      <c r="D162" s="21">
        <v>55</v>
      </c>
    </row>
    <row r="163" spans="1:4" x14ac:dyDescent="0.25">
      <c r="A163" s="1">
        <v>55</v>
      </c>
      <c r="B163" s="26">
        <v>0.91061501502990605</v>
      </c>
      <c r="C163" s="1" t="s">
        <v>4</v>
      </c>
      <c r="D163" s="21">
        <v>55</v>
      </c>
    </row>
    <row r="164" spans="1:4" x14ac:dyDescent="0.25">
      <c r="A164" s="1">
        <v>58</v>
      </c>
      <c r="B164" s="26">
        <v>0.110422677993774</v>
      </c>
      <c r="C164" s="1" t="s">
        <v>4</v>
      </c>
      <c r="D164" s="21">
        <v>58</v>
      </c>
    </row>
    <row r="165" spans="1:4" x14ac:dyDescent="0.25">
      <c r="A165" s="1">
        <v>65</v>
      </c>
      <c r="B165" s="26">
        <v>0.98004364967346203</v>
      </c>
      <c r="C165" s="1" t="s">
        <v>4</v>
      </c>
      <c r="D165" s="21">
        <v>65</v>
      </c>
    </row>
    <row r="166" spans="1:4" x14ac:dyDescent="0.25">
      <c r="A166" s="1">
        <v>74</v>
      </c>
      <c r="B166" s="26">
        <v>0.50701766014099103</v>
      </c>
      <c r="C166" s="1" t="s">
        <v>4</v>
      </c>
      <c r="D166" s="21">
        <v>74</v>
      </c>
    </row>
    <row r="167" spans="1:4" x14ac:dyDescent="0.25">
      <c r="A167" s="1">
        <v>77</v>
      </c>
      <c r="B167" s="26">
        <v>0.88183569908142001</v>
      </c>
      <c r="C167" s="1" t="s">
        <v>4</v>
      </c>
      <c r="D167" s="21">
        <v>77</v>
      </c>
    </row>
    <row r="168" spans="1:4" x14ac:dyDescent="0.25">
      <c r="A168" s="1">
        <v>81</v>
      </c>
      <c r="B168" s="26">
        <v>0.78775763511657704</v>
      </c>
      <c r="C168" s="1" t="s">
        <v>4</v>
      </c>
      <c r="D168" s="21">
        <v>62</v>
      </c>
    </row>
    <row r="169" spans="1:4" x14ac:dyDescent="0.25">
      <c r="A169" s="1">
        <v>81</v>
      </c>
      <c r="B169" s="26">
        <v>0.82683219909667904</v>
      </c>
      <c r="C169" s="1" t="s">
        <v>4</v>
      </c>
      <c r="D169" s="21">
        <v>81</v>
      </c>
    </row>
    <row r="170" spans="1:4" x14ac:dyDescent="0.25">
      <c r="A170" s="1">
        <v>85</v>
      </c>
      <c r="B170" s="26">
        <v>0.96956954002380402</v>
      </c>
      <c r="C170" s="1" t="s">
        <v>4</v>
      </c>
      <c r="D170" s="21">
        <v>102</v>
      </c>
    </row>
    <row r="171" spans="1:4" x14ac:dyDescent="0.25">
      <c r="A171" s="1">
        <v>96</v>
      </c>
      <c r="B171" s="26">
        <v>0.926221895217896</v>
      </c>
      <c r="C171" s="1" t="s">
        <v>4</v>
      </c>
      <c r="D171" s="21">
        <v>96</v>
      </c>
    </row>
    <row r="172" spans="1:4" x14ac:dyDescent="0.25">
      <c r="A172" s="1">
        <v>96</v>
      </c>
      <c r="B172" s="26">
        <v>0.926221895217896</v>
      </c>
      <c r="C172" s="1" t="s">
        <v>4</v>
      </c>
      <c r="D172" s="21">
        <v>96</v>
      </c>
    </row>
    <row r="173" spans="1:4" x14ac:dyDescent="0.25">
      <c r="A173" s="1">
        <v>102</v>
      </c>
      <c r="B173" s="26">
        <v>0.46125707626342699</v>
      </c>
      <c r="C173" s="1" t="s">
        <v>4</v>
      </c>
      <c r="D173" s="21">
        <v>102</v>
      </c>
    </row>
    <row r="174" spans="1:4" x14ac:dyDescent="0.25">
      <c r="A174" s="1">
        <v>106</v>
      </c>
      <c r="B174" s="26">
        <v>0.28851259946823099</v>
      </c>
      <c r="C174" s="1" t="s">
        <v>4</v>
      </c>
      <c r="D174" s="21">
        <v>2</v>
      </c>
    </row>
    <row r="175" spans="1:4" x14ac:dyDescent="0.25">
      <c r="A175" s="1">
        <v>108</v>
      </c>
      <c r="B175" s="26">
        <v>0.72685861587524403</v>
      </c>
      <c r="C175" s="1" t="s">
        <v>4</v>
      </c>
      <c r="D175" s="21">
        <v>108</v>
      </c>
    </row>
    <row r="176" spans="1:4" x14ac:dyDescent="0.25">
      <c r="A176" s="1">
        <v>108</v>
      </c>
      <c r="B176" s="26">
        <v>0.75878596305847201</v>
      </c>
      <c r="C176" s="1" t="s">
        <v>4</v>
      </c>
      <c r="D176" s="21">
        <v>74</v>
      </c>
    </row>
    <row r="177" spans="1:4" x14ac:dyDescent="0.25">
      <c r="A177" s="1">
        <v>2</v>
      </c>
      <c r="B177" s="26">
        <v>0.54889643192291204</v>
      </c>
      <c r="C177" s="1" t="s">
        <v>4</v>
      </c>
      <c r="D177" s="21">
        <v>2</v>
      </c>
    </row>
    <row r="178" spans="1:4" x14ac:dyDescent="0.25">
      <c r="A178" s="1">
        <v>2</v>
      </c>
      <c r="B178" s="26">
        <v>0.69089431762695297</v>
      </c>
      <c r="C178" s="1" t="s">
        <v>4</v>
      </c>
      <c r="D178" s="21">
        <v>2</v>
      </c>
    </row>
    <row r="179" spans="1:4" x14ac:dyDescent="0.25">
      <c r="A179" s="1">
        <v>2</v>
      </c>
      <c r="B179" s="26">
        <v>0.76737966537475599</v>
      </c>
      <c r="C179" s="1" t="s">
        <v>4</v>
      </c>
      <c r="D179" s="21">
        <v>2</v>
      </c>
    </row>
    <row r="180" spans="1:4" x14ac:dyDescent="0.25">
      <c r="A180" s="1">
        <v>2</v>
      </c>
      <c r="B180" s="26">
        <v>0.83491039276123002</v>
      </c>
      <c r="C180" s="1" t="s">
        <v>4</v>
      </c>
      <c r="D180" s="21">
        <v>2</v>
      </c>
    </row>
    <row r="181" spans="1:4" x14ac:dyDescent="0.25">
      <c r="A181" s="1">
        <v>2</v>
      </c>
      <c r="B181" s="26">
        <v>1</v>
      </c>
      <c r="C181" s="1" t="s">
        <v>4</v>
      </c>
      <c r="D181" s="21">
        <v>2</v>
      </c>
    </row>
    <row r="182" spans="1:4" x14ac:dyDescent="0.25">
      <c r="A182" s="1">
        <v>2</v>
      </c>
      <c r="B182" s="26">
        <v>1</v>
      </c>
      <c r="C182" s="1" t="s">
        <v>4</v>
      </c>
      <c r="D182" s="21">
        <v>2</v>
      </c>
    </row>
    <row r="183" spans="1:4" x14ac:dyDescent="0.25">
      <c r="A183" s="1">
        <v>2</v>
      </c>
      <c r="B183" s="26">
        <v>1</v>
      </c>
      <c r="C183" s="1" t="s">
        <v>4</v>
      </c>
      <c r="D183" s="21">
        <v>2</v>
      </c>
    </row>
    <row r="184" spans="1:4" x14ac:dyDescent="0.25">
      <c r="A184" s="1">
        <v>3</v>
      </c>
      <c r="B184" s="26">
        <v>0.60220499038696296</v>
      </c>
      <c r="C184" s="1" t="s">
        <v>4</v>
      </c>
      <c r="D184" s="21">
        <v>3</v>
      </c>
    </row>
    <row r="185" spans="1:4" x14ac:dyDescent="0.25">
      <c r="A185" s="1">
        <v>3</v>
      </c>
      <c r="B185" s="26">
        <v>0.81244473457336397</v>
      </c>
      <c r="C185" s="1" t="s">
        <v>4</v>
      </c>
      <c r="D185" s="21">
        <v>3</v>
      </c>
    </row>
    <row r="186" spans="1:4" x14ac:dyDescent="0.25">
      <c r="A186" s="1">
        <v>3</v>
      </c>
      <c r="B186" s="26">
        <v>0.82034120559692403</v>
      </c>
      <c r="C186" s="1" t="s">
        <v>4</v>
      </c>
      <c r="D186" s="21">
        <v>3</v>
      </c>
    </row>
    <row r="187" spans="1:4" x14ac:dyDescent="0.25">
      <c r="A187" s="1">
        <v>3</v>
      </c>
      <c r="B187" s="26">
        <v>0.89194498062133798</v>
      </c>
      <c r="C187" s="1" t="s">
        <v>4</v>
      </c>
      <c r="D187" s="21">
        <v>66</v>
      </c>
    </row>
    <row r="188" spans="1:4" x14ac:dyDescent="0.25">
      <c r="A188" s="1">
        <v>3</v>
      </c>
      <c r="B188" s="26">
        <v>0.97947607040405305</v>
      </c>
      <c r="C188" s="1" t="s">
        <v>4</v>
      </c>
      <c r="D188" s="21">
        <v>3</v>
      </c>
    </row>
    <row r="189" spans="1:4" x14ac:dyDescent="0.25">
      <c r="A189" s="1">
        <v>3</v>
      </c>
      <c r="B189" s="26">
        <v>1</v>
      </c>
      <c r="C189" s="1" t="s">
        <v>4</v>
      </c>
      <c r="D189" s="21">
        <v>3</v>
      </c>
    </row>
    <row r="190" spans="1:4" x14ac:dyDescent="0.25">
      <c r="A190" s="1">
        <v>3</v>
      </c>
      <c r="B190" s="26">
        <v>1</v>
      </c>
      <c r="C190" s="1" t="s">
        <v>4</v>
      </c>
      <c r="D190" s="21">
        <v>3</v>
      </c>
    </row>
    <row r="191" spans="1:4" x14ac:dyDescent="0.25">
      <c r="A191" s="1">
        <v>4</v>
      </c>
      <c r="B191" s="26">
        <v>0.437586283683777</v>
      </c>
      <c r="C191" s="1" t="s">
        <v>4</v>
      </c>
      <c r="D191" s="21">
        <v>4</v>
      </c>
    </row>
    <row r="192" spans="1:4" x14ac:dyDescent="0.25">
      <c r="A192" s="1">
        <v>4</v>
      </c>
      <c r="B192" s="26">
        <v>0.709203481674194</v>
      </c>
      <c r="C192" s="1" t="s">
        <v>4</v>
      </c>
      <c r="D192" s="21">
        <v>4</v>
      </c>
    </row>
    <row r="193" spans="1:4" x14ac:dyDescent="0.25">
      <c r="A193" s="1">
        <v>4</v>
      </c>
      <c r="B193" s="26">
        <v>0.75541486740112196</v>
      </c>
      <c r="C193" s="1" t="s">
        <v>4</v>
      </c>
      <c r="D193" s="21">
        <v>62</v>
      </c>
    </row>
    <row r="194" spans="1:4" x14ac:dyDescent="0.25">
      <c r="A194" s="1">
        <v>4</v>
      </c>
      <c r="B194" s="26">
        <v>1</v>
      </c>
      <c r="C194" s="1" t="s">
        <v>4</v>
      </c>
      <c r="D194" s="21">
        <v>4</v>
      </c>
    </row>
    <row r="195" spans="1:4" x14ac:dyDescent="0.25">
      <c r="A195" s="1">
        <v>11</v>
      </c>
      <c r="B195" s="26">
        <v>0.44443283081054702</v>
      </c>
      <c r="C195" s="1" t="s">
        <v>4</v>
      </c>
      <c r="D195" s="21">
        <v>81</v>
      </c>
    </row>
    <row r="196" spans="1:4" x14ac:dyDescent="0.25">
      <c r="A196" s="1">
        <v>11</v>
      </c>
      <c r="B196" s="26">
        <v>0.74226760864257801</v>
      </c>
      <c r="C196" s="1" t="s">
        <v>4</v>
      </c>
      <c r="D196" s="21">
        <v>11</v>
      </c>
    </row>
    <row r="197" spans="1:4" x14ac:dyDescent="0.25">
      <c r="A197" s="1">
        <v>17</v>
      </c>
      <c r="B197" s="26">
        <v>0.33513962030410799</v>
      </c>
      <c r="C197" s="1" t="s">
        <v>4</v>
      </c>
      <c r="D197" s="21">
        <v>3</v>
      </c>
    </row>
    <row r="198" spans="1:4" x14ac:dyDescent="0.25">
      <c r="A198" s="1">
        <v>22</v>
      </c>
      <c r="B198" s="26">
        <v>0.64472765922546404</v>
      </c>
      <c r="C198" s="1" t="s">
        <v>4</v>
      </c>
      <c r="D198" s="21">
        <v>12</v>
      </c>
    </row>
    <row r="199" spans="1:4" x14ac:dyDescent="0.25">
      <c r="A199" s="1">
        <v>24</v>
      </c>
      <c r="B199" s="26">
        <v>0.57048954963684095</v>
      </c>
      <c r="C199" s="1" t="s">
        <v>4</v>
      </c>
      <c r="D199" s="21">
        <v>60</v>
      </c>
    </row>
    <row r="200" spans="1:4" x14ac:dyDescent="0.25">
      <c r="A200" s="1">
        <v>24</v>
      </c>
      <c r="B200" s="26">
        <v>0.72516927719116198</v>
      </c>
      <c r="C200" s="1" t="s">
        <v>4</v>
      </c>
      <c r="D200" s="21">
        <v>77</v>
      </c>
    </row>
    <row r="201" spans="1:4" x14ac:dyDescent="0.25">
      <c r="A201" s="1">
        <v>28</v>
      </c>
      <c r="B201" s="26">
        <v>0.82488470077514697</v>
      </c>
      <c r="C201" s="1" t="s">
        <v>4</v>
      </c>
      <c r="D201" s="21">
        <v>28</v>
      </c>
    </row>
    <row r="202" spans="1:4" x14ac:dyDescent="0.25">
      <c r="A202" s="1">
        <v>29</v>
      </c>
      <c r="B202" s="26">
        <v>0.75931363105773897</v>
      </c>
      <c r="C202" s="1" t="s">
        <v>4</v>
      </c>
      <c r="D202" s="21">
        <v>29</v>
      </c>
    </row>
    <row r="203" spans="1:4" x14ac:dyDescent="0.25">
      <c r="A203" s="1">
        <v>29</v>
      </c>
      <c r="B203" s="26">
        <v>0.84085221290588397</v>
      </c>
      <c r="C203" s="1" t="s">
        <v>4</v>
      </c>
      <c r="D203" s="21">
        <v>29</v>
      </c>
    </row>
    <row r="204" spans="1:4" x14ac:dyDescent="0.25">
      <c r="A204" s="1">
        <v>31</v>
      </c>
      <c r="B204" s="26">
        <v>0.44923355579376201</v>
      </c>
      <c r="C204" s="1" t="s">
        <v>4</v>
      </c>
      <c r="D204" s="21">
        <v>2</v>
      </c>
    </row>
    <row r="205" spans="1:4" x14ac:dyDescent="0.25">
      <c r="A205" s="1">
        <v>39</v>
      </c>
      <c r="B205" s="26">
        <v>6.5534567832947005E-2</v>
      </c>
      <c r="C205" s="1" t="s">
        <v>4</v>
      </c>
      <c r="D205" s="21">
        <v>0</v>
      </c>
    </row>
    <row r="206" spans="1:4" x14ac:dyDescent="0.25">
      <c r="A206" s="1">
        <v>40</v>
      </c>
      <c r="B206" s="26">
        <v>0.53936831951141395</v>
      </c>
      <c r="C206" s="1" t="s">
        <v>4</v>
      </c>
      <c r="D206" s="21">
        <v>40</v>
      </c>
    </row>
    <row r="207" spans="1:4" x14ac:dyDescent="0.25">
      <c r="A207" s="1">
        <v>43</v>
      </c>
      <c r="B207" s="26">
        <v>0.31125379800796499</v>
      </c>
      <c r="C207" s="1" t="s">
        <v>4</v>
      </c>
      <c r="D207" s="21">
        <v>43</v>
      </c>
    </row>
    <row r="208" spans="1:4" x14ac:dyDescent="0.25">
      <c r="A208" s="1">
        <v>43</v>
      </c>
      <c r="B208" s="26">
        <v>0.38045603036880499</v>
      </c>
      <c r="C208" s="1" t="s">
        <v>4</v>
      </c>
      <c r="D208" s="21">
        <v>2</v>
      </c>
    </row>
    <row r="209" spans="1:4" x14ac:dyDescent="0.25">
      <c r="A209" s="1">
        <v>49</v>
      </c>
      <c r="B209" s="26">
        <v>0.288894593715668</v>
      </c>
      <c r="C209" s="1" t="s">
        <v>4</v>
      </c>
      <c r="D209" s="21">
        <v>81</v>
      </c>
    </row>
    <row r="210" spans="1:4" x14ac:dyDescent="0.25">
      <c r="A210" s="1">
        <v>60</v>
      </c>
      <c r="B210" s="26">
        <v>0.38572070598602198</v>
      </c>
      <c r="C210" s="1" t="s">
        <v>4</v>
      </c>
      <c r="D210" s="21">
        <v>77</v>
      </c>
    </row>
    <row r="211" spans="1:4" x14ac:dyDescent="0.25">
      <c r="A211" s="1">
        <v>60</v>
      </c>
      <c r="B211" s="26">
        <v>0.439995741844177</v>
      </c>
      <c r="C211" s="1" t="s">
        <v>4</v>
      </c>
      <c r="D211" s="21">
        <v>60</v>
      </c>
    </row>
    <row r="212" spans="1:4" x14ac:dyDescent="0.25">
      <c r="A212" s="1">
        <v>60</v>
      </c>
      <c r="B212" s="26">
        <v>0.58052868843078598</v>
      </c>
      <c r="C212" s="1" t="s">
        <v>4</v>
      </c>
      <c r="D212" s="21">
        <v>60</v>
      </c>
    </row>
    <row r="213" spans="1:4" x14ac:dyDescent="0.25">
      <c r="A213" s="1">
        <v>60</v>
      </c>
      <c r="B213" s="26">
        <v>0.77745299339294405</v>
      </c>
      <c r="C213" s="1" t="s">
        <v>4</v>
      </c>
      <c r="D213" s="21">
        <v>60</v>
      </c>
    </row>
    <row r="214" spans="1:4" x14ac:dyDescent="0.25">
      <c r="A214" s="1">
        <v>62</v>
      </c>
      <c r="B214" s="26">
        <v>0.86292705535888703</v>
      </c>
      <c r="C214" s="1" t="s">
        <v>4</v>
      </c>
      <c r="D214" s="21">
        <v>62</v>
      </c>
    </row>
    <row r="215" spans="1:4" x14ac:dyDescent="0.25">
      <c r="A215" s="1">
        <v>68</v>
      </c>
      <c r="B215" s="26">
        <v>1</v>
      </c>
      <c r="C215" s="1" t="s">
        <v>4</v>
      </c>
      <c r="D215" s="21">
        <v>68</v>
      </c>
    </row>
    <row r="216" spans="1:4" x14ac:dyDescent="0.25">
      <c r="A216" s="1">
        <v>69</v>
      </c>
      <c r="B216" s="26">
        <v>1</v>
      </c>
      <c r="C216" s="1" t="s">
        <v>4</v>
      </c>
      <c r="D216" s="21">
        <v>69</v>
      </c>
    </row>
    <row r="217" spans="1:4" x14ac:dyDescent="0.25">
      <c r="A217" s="1">
        <v>77</v>
      </c>
      <c r="B217" s="26">
        <v>0.32635365724563598</v>
      </c>
      <c r="C217" s="1" t="s">
        <v>4</v>
      </c>
      <c r="D217" s="21">
        <v>77</v>
      </c>
    </row>
    <row r="218" spans="1:4" x14ac:dyDescent="0.25">
      <c r="A218" s="1">
        <v>77</v>
      </c>
      <c r="B218" s="26">
        <v>0.41316847801208501</v>
      </c>
      <c r="C218" s="1" t="s">
        <v>4</v>
      </c>
      <c r="D218" s="21">
        <v>74</v>
      </c>
    </row>
    <row r="219" spans="1:4" x14ac:dyDescent="0.25">
      <c r="A219" s="1">
        <v>77</v>
      </c>
      <c r="B219" s="26">
        <v>0.51052732467651396</v>
      </c>
      <c r="C219" s="1" t="s">
        <v>4</v>
      </c>
      <c r="D219" s="21">
        <v>74</v>
      </c>
    </row>
    <row r="220" spans="1:4" x14ac:dyDescent="0.25">
      <c r="A220" s="1">
        <v>77</v>
      </c>
      <c r="B220" s="26">
        <v>0.51837489604950004</v>
      </c>
      <c r="C220" s="1" t="s">
        <v>4</v>
      </c>
      <c r="D220" s="21">
        <v>74</v>
      </c>
    </row>
    <row r="221" spans="1:4" x14ac:dyDescent="0.25">
      <c r="A221" s="1">
        <v>77</v>
      </c>
      <c r="B221" s="26">
        <v>0.68327908515930202</v>
      </c>
      <c r="C221" s="1" t="s">
        <v>4</v>
      </c>
      <c r="D221" s="21">
        <v>99</v>
      </c>
    </row>
    <row r="222" spans="1:4" x14ac:dyDescent="0.25">
      <c r="A222" s="1">
        <v>77</v>
      </c>
      <c r="B222" s="26">
        <v>0.94849438667297403</v>
      </c>
      <c r="C222" s="1" t="s">
        <v>4</v>
      </c>
      <c r="D222" s="21">
        <v>77</v>
      </c>
    </row>
    <row r="223" spans="1:4" x14ac:dyDescent="0.25">
      <c r="A223" s="1">
        <v>77</v>
      </c>
      <c r="B223" s="26">
        <v>0.96417174339294398</v>
      </c>
      <c r="C223" s="1" t="s">
        <v>4</v>
      </c>
      <c r="D223" s="21">
        <v>77</v>
      </c>
    </row>
    <row r="224" spans="1:4" x14ac:dyDescent="0.25">
      <c r="A224" s="1">
        <v>85</v>
      </c>
      <c r="B224" s="26">
        <v>0.28928102254867599</v>
      </c>
      <c r="C224" s="1" t="s">
        <v>4</v>
      </c>
      <c r="D224" s="21">
        <v>92</v>
      </c>
    </row>
    <row r="225" spans="1:4" x14ac:dyDescent="0.25">
      <c r="A225" s="1">
        <v>90</v>
      </c>
      <c r="B225" s="26">
        <v>6.0355451107024997E-2</v>
      </c>
      <c r="C225" s="1" t="s">
        <v>4</v>
      </c>
      <c r="D225" s="21">
        <v>0</v>
      </c>
    </row>
    <row r="226" spans="1:4" x14ac:dyDescent="0.25">
      <c r="A226" s="1">
        <v>99</v>
      </c>
      <c r="B226" s="26">
        <v>0.84861378669738796</v>
      </c>
      <c r="C226" s="1" t="s">
        <v>4</v>
      </c>
      <c r="D226" s="21">
        <v>99</v>
      </c>
    </row>
    <row r="227" spans="1:4" x14ac:dyDescent="0.25">
      <c r="A227" s="1">
        <v>108</v>
      </c>
      <c r="B227" s="26">
        <v>0.44185957908630302</v>
      </c>
      <c r="C227" s="1" t="s">
        <v>4</v>
      </c>
      <c r="D227" s="21">
        <v>108</v>
      </c>
    </row>
    <row r="228" spans="1:4" x14ac:dyDescent="0.25">
      <c r="A228" s="1">
        <v>108</v>
      </c>
      <c r="B228" s="26">
        <v>0.87952909469604501</v>
      </c>
      <c r="C228" s="1" t="s">
        <v>4</v>
      </c>
      <c r="D228" s="21">
        <v>108</v>
      </c>
    </row>
    <row r="229" spans="1:4" x14ac:dyDescent="0.25">
      <c r="A229" s="1">
        <v>110</v>
      </c>
      <c r="B229" s="26">
        <v>0.45656213760375902</v>
      </c>
      <c r="C229" s="1" t="s">
        <v>4</v>
      </c>
      <c r="D229" s="21">
        <v>81</v>
      </c>
    </row>
    <row r="230" spans="1:4" x14ac:dyDescent="0.25">
      <c r="A230" s="1">
        <v>110</v>
      </c>
      <c r="B230" s="26">
        <v>0.54731395244598402</v>
      </c>
      <c r="C230" s="1" t="s">
        <v>4</v>
      </c>
      <c r="D230" s="21">
        <v>110</v>
      </c>
    </row>
    <row r="231" spans="1:4" x14ac:dyDescent="0.25">
      <c r="A231" s="1">
        <v>110</v>
      </c>
      <c r="B231" s="26">
        <v>0.905767869949341</v>
      </c>
      <c r="C231" s="1" t="s">
        <v>4</v>
      </c>
      <c r="D231" s="21">
        <v>110</v>
      </c>
    </row>
    <row r="232" spans="1:4" x14ac:dyDescent="0.25">
      <c r="A232" s="1">
        <v>2</v>
      </c>
      <c r="B232" s="26">
        <v>0.37937693595886202</v>
      </c>
      <c r="C232" s="1" t="s">
        <v>4</v>
      </c>
      <c r="D232" s="21">
        <v>74</v>
      </c>
    </row>
    <row r="233" spans="1:4" x14ac:dyDescent="0.25">
      <c r="A233" s="1">
        <v>2</v>
      </c>
      <c r="B233" s="26">
        <v>0.45959587097167998</v>
      </c>
      <c r="C233" s="1" t="s">
        <v>4</v>
      </c>
      <c r="D233" s="21">
        <v>2</v>
      </c>
    </row>
    <row r="234" spans="1:4" x14ac:dyDescent="0.25">
      <c r="A234" s="1">
        <v>2</v>
      </c>
      <c r="B234" s="26">
        <v>0.523502492904662</v>
      </c>
      <c r="C234" s="1" t="s">
        <v>4</v>
      </c>
      <c r="D234" s="21">
        <v>2</v>
      </c>
    </row>
    <row r="235" spans="1:4" x14ac:dyDescent="0.25">
      <c r="A235" s="1">
        <v>2</v>
      </c>
      <c r="B235" s="26">
        <v>0.54889643192291204</v>
      </c>
      <c r="C235" s="1" t="s">
        <v>4</v>
      </c>
      <c r="D235" s="21">
        <v>0</v>
      </c>
    </row>
    <row r="236" spans="1:4" x14ac:dyDescent="0.25">
      <c r="A236" s="1">
        <v>2</v>
      </c>
      <c r="B236" s="26">
        <v>0.62321009635925295</v>
      </c>
      <c r="C236" s="1" t="s">
        <v>4</v>
      </c>
      <c r="D236" s="21">
        <v>2</v>
      </c>
    </row>
    <row r="237" spans="1:4" x14ac:dyDescent="0.25">
      <c r="A237" s="1">
        <v>2</v>
      </c>
      <c r="B237" s="26">
        <v>0.76190848350524898</v>
      </c>
      <c r="C237" s="1" t="s">
        <v>4</v>
      </c>
      <c r="D237" s="21">
        <v>2</v>
      </c>
    </row>
    <row r="238" spans="1:4" x14ac:dyDescent="0.25">
      <c r="A238" s="1">
        <v>2</v>
      </c>
      <c r="B238" s="26">
        <v>0.78678212165832495</v>
      </c>
      <c r="C238" s="1" t="s">
        <v>4</v>
      </c>
      <c r="D238" s="21">
        <v>2</v>
      </c>
    </row>
    <row r="239" spans="1:4" x14ac:dyDescent="0.25">
      <c r="A239" s="1">
        <v>2</v>
      </c>
      <c r="B239" s="26">
        <v>0.85213608741760205</v>
      </c>
      <c r="C239" s="1" t="s">
        <v>4</v>
      </c>
      <c r="D239" s="21">
        <v>3</v>
      </c>
    </row>
    <row r="240" spans="1:4" x14ac:dyDescent="0.25">
      <c r="A240" s="1">
        <v>2</v>
      </c>
      <c r="B240" s="26">
        <v>0.861395740509032</v>
      </c>
      <c r="C240" s="1" t="s">
        <v>4</v>
      </c>
      <c r="D240" s="21">
        <v>2</v>
      </c>
    </row>
    <row r="241" spans="1:4" x14ac:dyDescent="0.25">
      <c r="A241" s="1">
        <v>2</v>
      </c>
      <c r="B241" s="26">
        <v>0.861395740509032</v>
      </c>
      <c r="C241" s="1" t="s">
        <v>4</v>
      </c>
      <c r="D241" s="21">
        <v>2</v>
      </c>
    </row>
    <row r="242" spans="1:4" x14ac:dyDescent="0.25">
      <c r="A242" s="1">
        <v>2</v>
      </c>
      <c r="B242" s="26">
        <v>0.90043067932128895</v>
      </c>
      <c r="C242" s="1" t="s">
        <v>4</v>
      </c>
      <c r="D242" s="21">
        <v>2</v>
      </c>
    </row>
    <row r="243" spans="1:4" x14ac:dyDescent="0.25">
      <c r="A243" s="1">
        <v>2</v>
      </c>
      <c r="B243" s="26">
        <v>0.99394536018371504</v>
      </c>
      <c r="C243" s="1" t="s">
        <v>4</v>
      </c>
      <c r="D243" s="21">
        <v>2</v>
      </c>
    </row>
    <row r="244" spans="1:4" x14ac:dyDescent="0.25">
      <c r="A244" s="1">
        <v>2</v>
      </c>
      <c r="B244" s="26">
        <v>1</v>
      </c>
      <c r="C244" s="1" t="s">
        <v>4</v>
      </c>
      <c r="D244" s="21">
        <v>2</v>
      </c>
    </row>
    <row r="245" spans="1:4" x14ac:dyDescent="0.25">
      <c r="A245" s="1">
        <v>2</v>
      </c>
      <c r="B245" s="26">
        <v>1</v>
      </c>
      <c r="C245" s="1" t="s">
        <v>4</v>
      </c>
      <c r="D245" s="21">
        <v>2</v>
      </c>
    </row>
    <row r="246" spans="1:4" x14ac:dyDescent="0.25">
      <c r="A246" s="1">
        <v>2</v>
      </c>
      <c r="B246" s="26">
        <v>1</v>
      </c>
      <c r="C246" s="1" t="s">
        <v>4</v>
      </c>
      <c r="D246" s="21">
        <v>2</v>
      </c>
    </row>
    <row r="247" spans="1:4" x14ac:dyDescent="0.25">
      <c r="A247" s="1">
        <v>2</v>
      </c>
      <c r="B247" s="26">
        <v>1</v>
      </c>
      <c r="C247" s="1" t="s">
        <v>4</v>
      </c>
      <c r="D247" s="21">
        <v>2</v>
      </c>
    </row>
    <row r="248" spans="1:4" x14ac:dyDescent="0.25">
      <c r="A248" s="1">
        <v>3</v>
      </c>
      <c r="B248" s="26">
        <v>0.32463729381561302</v>
      </c>
      <c r="C248" s="1" t="s">
        <v>4</v>
      </c>
      <c r="D248" s="21">
        <v>3</v>
      </c>
    </row>
    <row r="249" spans="1:4" x14ac:dyDescent="0.25">
      <c r="A249" s="1">
        <v>3</v>
      </c>
      <c r="B249" s="26">
        <v>0.417834496498108</v>
      </c>
      <c r="C249" s="1" t="s">
        <v>4</v>
      </c>
      <c r="D249" s="21">
        <v>3</v>
      </c>
    </row>
    <row r="250" spans="1:4" x14ac:dyDescent="0.25">
      <c r="A250" s="1">
        <v>3</v>
      </c>
      <c r="B250" s="26">
        <v>0.420345067977905</v>
      </c>
      <c r="C250" s="1" t="s">
        <v>4</v>
      </c>
      <c r="D250" s="21">
        <v>3</v>
      </c>
    </row>
    <row r="251" spans="1:4" x14ac:dyDescent="0.25">
      <c r="A251" s="1">
        <v>3</v>
      </c>
      <c r="B251" s="26">
        <v>0.483522915840149</v>
      </c>
      <c r="C251" s="1" t="s">
        <v>4</v>
      </c>
      <c r="D251" s="21">
        <v>24</v>
      </c>
    </row>
    <row r="252" spans="1:4" x14ac:dyDescent="0.25">
      <c r="A252" s="1">
        <v>3</v>
      </c>
      <c r="B252" s="26">
        <v>0.55282621383666997</v>
      </c>
      <c r="C252" s="1" t="s">
        <v>4</v>
      </c>
      <c r="D252" s="21">
        <v>3</v>
      </c>
    </row>
    <row r="253" spans="1:4" x14ac:dyDescent="0.25">
      <c r="A253" s="1">
        <v>3</v>
      </c>
      <c r="B253" s="26">
        <v>0.61741805076599099</v>
      </c>
      <c r="C253" s="1" t="s">
        <v>4</v>
      </c>
      <c r="D253" s="21">
        <v>40</v>
      </c>
    </row>
    <row r="254" spans="1:4" x14ac:dyDescent="0.25">
      <c r="A254" s="1">
        <v>3</v>
      </c>
      <c r="B254" s="26">
        <v>0.62423987388610702</v>
      </c>
      <c r="C254" s="1" t="s">
        <v>4</v>
      </c>
      <c r="D254" s="21">
        <v>3</v>
      </c>
    </row>
    <row r="255" spans="1:4" x14ac:dyDescent="0.25">
      <c r="A255" s="1">
        <v>3</v>
      </c>
      <c r="B255" s="26">
        <v>0.75313196182250997</v>
      </c>
      <c r="C255" s="1" t="s">
        <v>4</v>
      </c>
      <c r="D255" s="21">
        <v>3</v>
      </c>
    </row>
    <row r="256" spans="1:4" x14ac:dyDescent="0.25">
      <c r="A256" s="1">
        <v>3</v>
      </c>
      <c r="B256" s="26">
        <v>0.76384034156799197</v>
      </c>
      <c r="C256" s="1" t="s">
        <v>4</v>
      </c>
      <c r="D256" s="21">
        <v>3</v>
      </c>
    </row>
    <row r="257" spans="1:4" x14ac:dyDescent="0.25">
      <c r="A257" s="1">
        <v>3</v>
      </c>
      <c r="B257" s="26">
        <v>0.80541415214538603</v>
      </c>
      <c r="C257" s="1" t="s">
        <v>4</v>
      </c>
      <c r="D257" s="21">
        <v>3</v>
      </c>
    </row>
    <row r="258" spans="1:4" x14ac:dyDescent="0.25">
      <c r="A258" s="1">
        <v>3</v>
      </c>
      <c r="B258" s="26">
        <v>0.84460291862487702</v>
      </c>
      <c r="C258" s="1" t="s">
        <v>4</v>
      </c>
      <c r="D258" s="21">
        <v>3</v>
      </c>
    </row>
    <row r="259" spans="1:4" x14ac:dyDescent="0.25">
      <c r="A259" s="1">
        <v>3</v>
      </c>
      <c r="B259" s="26">
        <v>0.87731637954711805</v>
      </c>
      <c r="C259" s="1" t="s">
        <v>4</v>
      </c>
      <c r="D259" s="21">
        <v>3</v>
      </c>
    </row>
    <row r="260" spans="1:4" x14ac:dyDescent="0.25">
      <c r="A260" s="1">
        <v>3</v>
      </c>
      <c r="B260" s="26">
        <v>0.88458199501037504</v>
      </c>
      <c r="C260" s="1" t="s">
        <v>4</v>
      </c>
      <c r="D260" s="21">
        <v>3</v>
      </c>
    </row>
    <row r="261" spans="1:4" x14ac:dyDescent="0.25">
      <c r="A261" s="1">
        <v>3</v>
      </c>
      <c r="B261" s="26">
        <v>0.92134790420532198</v>
      </c>
      <c r="C261" s="1" t="s">
        <v>4</v>
      </c>
      <c r="D261" s="21">
        <v>3</v>
      </c>
    </row>
    <row r="262" spans="1:4" x14ac:dyDescent="0.25">
      <c r="A262" s="1">
        <v>3</v>
      </c>
      <c r="B262" s="26">
        <v>0.95138139724731396</v>
      </c>
      <c r="C262" s="1" t="s">
        <v>4</v>
      </c>
      <c r="D262" s="21">
        <v>3</v>
      </c>
    </row>
    <row r="263" spans="1:4" x14ac:dyDescent="0.25">
      <c r="A263" s="1">
        <v>3</v>
      </c>
      <c r="B263" s="26">
        <v>0.955241918563843</v>
      </c>
      <c r="C263" s="1" t="s">
        <v>4</v>
      </c>
      <c r="D263" s="21">
        <v>3</v>
      </c>
    </row>
    <row r="264" spans="1:4" x14ac:dyDescent="0.25">
      <c r="A264" s="1">
        <v>4</v>
      </c>
      <c r="B264" s="26">
        <v>0.28282079100608798</v>
      </c>
      <c r="C264" s="1" t="s">
        <v>4</v>
      </c>
      <c r="D264" s="21">
        <v>4</v>
      </c>
    </row>
    <row r="265" spans="1:4" x14ac:dyDescent="0.25">
      <c r="A265" s="1">
        <v>4</v>
      </c>
      <c r="B265" s="26">
        <v>0.42680485248565703</v>
      </c>
      <c r="C265" s="1" t="s">
        <v>4</v>
      </c>
      <c r="D265" s="21">
        <v>4</v>
      </c>
    </row>
    <row r="266" spans="1:4" x14ac:dyDescent="0.25">
      <c r="A266" s="1">
        <v>4</v>
      </c>
      <c r="B266" s="26">
        <v>0.54062678813934295</v>
      </c>
      <c r="C266" s="1" t="s">
        <v>4</v>
      </c>
      <c r="D266" s="21">
        <v>4</v>
      </c>
    </row>
    <row r="267" spans="1:4" x14ac:dyDescent="0.25">
      <c r="A267" s="1">
        <v>4</v>
      </c>
      <c r="B267" s="26">
        <v>0.65049080848693897</v>
      </c>
      <c r="C267" s="1" t="s">
        <v>4</v>
      </c>
      <c r="D267" s="21">
        <v>85</v>
      </c>
    </row>
    <row r="268" spans="1:4" x14ac:dyDescent="0.25">
      <c r="A268" s="1">
        <v>4</v>
      </c>
      <c r="B268" s="26">
        <v>1</v>
      </c>
      <c r="C268" s="1" t="s">
        <v>4</v>
      </c>
      <c r="D268" s="21">
        <v>4</v>
      </c>
    </row>
    <row r="269" spans="1:4" x14ac:dyDescent="0.25">
      <c r="A269" s="1">
        <v>4</v>
      </c>
      <c r="B269" s="26">
        <v>1</v>
      </c>
      <c r="C269" s="1" t="s">
        <v>4</v>
      </c>
      <c r="D269" s="21">
        <v>4</v>
      </c>
    </row>
    <row r="270" spans="1:4" x14ac:dyDescent="0.25">
      <c r="A270" s="1">
        <v>4</v>
      </c>
      <c r="B270" s="26">
        <v>1</v>
      </c>
      <c r="C270" s="1" t="s">
        <v>4</v>
      </c>
      <c r="D270" s="21">
        <v>4</v>
      </c>
    </row>
    <row r="271" spans="1:4" x14ac:dyDescent="0.25">
      <c r="A271" s="1">
        <v>4</v>
      </c>
      <c r="B271" s="26">
        <v>1</v>
      </c>
      <c r="C271" s="1" t="s">
        <v>4</v>
      </c>
      <c r="D271" s="21">
        <v>4</v>
      </c>
    </row>
    <row r="272" spans="1:4" x14ac:dyDescent="0.25">
      <c r="A272" s="1">
        <v>11</v>
      </c>
      <c r="B272" s="26">
        <v>0.40880858898162797</v>
      </c>
      <c r="C272" s="1" t="s">
        <v>4</v>
      </c>
      <c r="D272" s="21">
        <v>0</v>
      </c>
    </row>
    <row r="273" spans="1:4" x14ac:dyDescent="0.25">
      <c r="A273" s="1">
        <v>12</v>
      </c>
      <c r="B273" s="26">
        <v>0.121686878204346</v>
      </c>
      <c r="C273" s="1" t="s">
        <v>4</v>
      </c>
      <c r="D273" s="21">
        <v>12</v>
      </c>
    </row>
    <row r="274" spans="1:4" x14ac:dyDescent="0.25">
      <c r="A274" s="1">
        <v>12</v>
      </c>
      <c r="B274" s="26">
        <v>0.726178503036499</v>
      </c>
      <c r="C274" s="1" t="s">
        <v>4</v>
      </c>
      <c r="D274" s="21">
        <v>87</v>
      </c>
    </row>
    <row r="275" spans="1:4" x14ac:dyDescent="0.25">
      <c r="A275" s="1">
        <v>12</v>
      </c>
      <c r="B275" s="26">
        <v>0.72956695556640505</v>
      </c>
      <c r="C275" s="1" t="s">
        <v>4</v>
      </c>
      <c r="D275" s="21">
        <v>12</v>
      </c>
    </row>
    <row r="276" spans="1:4" x14ac:dyDescent="0.25">
      <c r="A276" s="1">
        <v>12</v>
      </c>
      <c r="B276" s="26">
        <v>0.72956695556640505</v>
      </c>
      <c r="C276" s="1" t="s">
        <v>4</v>
      </c>
      <c r="D276" s="21">
        <v>12</v>
      </c>
    </row>
    <row r="277" spans="1:4" x14ac:dyDescent="0.25">
      <c r="A277" s="1">
        <v>15</v>
      </c>
      <c r="B277" s="26">
        <v>1</v>
      </c>
      <c r="C277" s="1" t="s">
        <v>4</v>
      </c>
      <c r="D277" s="21">
        <v>15</v>
      </c>
    </row>
    <row r="278" spans="1:4" x14ac:dyDescent="0.25">
      <c r="A278" s="1">
        <v>17</v>
      </c>
      <c r="B278" s="26">
        <v>0.960316181182861</v>
      </c>
      <c r="C278" s="1" t="s">
        <v>4</v>
      </c>
      <c r="D278" s="21">
        <v>17</v>
      </c>
    </row>
    <row r="279" spans="1:4" x14ac:dyDescent="0.25">
      <c r="A279" s="1">
        <v>17</v>
      </c>
      <c r="B279" s="26">
        <v>0.96483426094055202</v>
      </c>
      <c r="C279" s="1" t="s">
        <v>4</v>
      </c>
      <c r="D279" s="21">
        <v>17</v>
      </c>
    </row>
    <row r="280" spans="1:4" x14ac:dyDescent="0.25">
      <c r="A280" s="1">
        <v>19</v>
      </c>
      <c r="B280" s="26">
        <v>0.34751476049423202</v>
      </c>
      <c r="C280" s="1" t="s">
        <v>4</v>
      </c>
      <c r="D280" s="21">
        <v>74</v>
      </c>
    </row>
    <row r="281" spans="1:4" x14ac:dyDescent="0.25">
      <c r="A281" s="1">
        <v>21</v>
      </c>
      <c r="B281" s="26">
        <v>6.8363864421844001E-2</v>
      </c>
      <c r="C281" s="1" t="s">
        <v>4</v>
      </c>
      <c r="D281" s="21">
        <v>0</v>
      </c>
    </row>
    <row r="282" spans="1:4" x14ac:dyDescent="0.25">
      <c r="A282" s="1">
        <v>22</v>
      </c>
      <c r="B282" s="26">
        <v>6.3014018535614003E-2</v>
      </c>
      <c r="C282" s="1" t="s">
        <v>4</v>
      </c>
      <c r="D282" s="21">
        <v>0</v>
      </c>
    </row>
    <row r="283" spans="1:4" x14ac:dyDescent="0.25">
      <c r="A283" s="1">
        <v>22</v>
      </c>
      <c r="B283" s="26">
        <v>0.54533770084381095</v>
      </c>
      <c r="C283" s="1" t="s">
        <v>4</v>
      </c>
      <c r="D283" s="21">
        <v>85</v>
      </c>
    </row>
    <row r="284" spans="1:4" x14ac:dyDescent="0.25">
      <c r="A284" s="1">
        <v>22</v>
      </c>
      <c r="B284" s="26">
        <v>0.65254011154174696</v>
      </c>
      <c r="C284" s="1" t="s">
        <v>4</v>
      </c>
      <c r="D284" s="21">
        <v>22</v>
      </c>
    </row>
    <row r="285" spans="1:4" x14ac:dyDescent="0.25">
      <c r="A285" s="1">
        <v>22</v>
      </c>
      <c r="B285" s="26">
        <v>0.72051863670349003</v>
      </c>
      <c r="C285" s="1" t="s">
        <v>4</v>
      </c>
      <c r="D285" s="21">
        <v>74</v>
      </c>
    </row>
    <row r="286" spans="1:4" x14ac:dyDescent="0.25">
      <c r="A286" s="1">
        <v>22</v>
      </c>
      <c r="B286" s="26">
        <v>0.91275086402893002</v>
      </c>
      <c r="C286" s="1" t="s">
        <v>4</v>
      </c>
      <c r="D286" s="21">
        <v>22</v>
      </c>
    </row>
    <row r="287" spans="1:4" x14ac:dyDescent="0.25">
      <c r="A287" s="1">
        <v>22</v>
      </c>
      <c r="B287" s="26">
        <v>0.91275086402893002</v>
      </c>
      <c r="C287" s="1" t="s">
        <v>4</v>
      </c>
      <c r="D287" s="21">
        <v>22</v>
      </c>
    </row>
    <row r="288" spans="1:4" x14ac:dyDescent="0.25">
      <c r="A288" s="1">
        <v>22</v>
      </c>
      <c r="B288" s="26">
        <v>0.959693956375122</v>
      </c>
      <c r="C288" s="1" t="s">
        <v>4</v>
      </c>
      <c r="D288" s="21">
        <v>22</v>
      </c>
    </row>
    <row r="289" spans="1:4" x14ac:dyDescent="0.25">
      <c r="A289" s="1">
        <v>22</v>
      </c>
      <c r="B289" s="26">
        <v>0.97729544639587396</v>
      </c>
      <c r="C289" s="1" t="s">
        <v>4</v>
      </c>
      <c r="D289" s="21">
        <v>22</v>
      </c>
    </row>
    <row r="290" spans="1:4" x14ac:dyDescent="0.25">
      <c r="A290" s="1">
        <v>22</v>
      </c>
      <c r="B290" s="26">
        <v>1</v>
      </c>
      <c r="C290" s="1" t="s">
        <v>4</v>
      </c>
      <c r="D290" s="21">
        <v>22</v>
      </c>
    </row>
    <row r="291" spans="1:4" x14ac:dyDescent="0.25">
      <c r="A291" s="1">
        <v>24</v>
      </c>
      <c r="B291" s="26">
        <v>0.17953768000484699</v>
      </c>
      <c r="C291" s="1" t="s">
        <v>4</v>
      </c>
      <c r="D291" s="21">
        <v>24</v>
      </c>
    </row>
    <row r="292" spans="1:4" x14ac:dyDescent="0.25">
      <c r="A292" s="1">
        <v>24</v>
      </c>
      <c r="B292" s="26">
        <v>0.238901722797208</v>
      </c>
      <c r="C292" s="1" t="s">
        <v>4</v>
      </c>
      <c r="D292" s="21">
        <v>74</v>
      </c>
    </row>
    <row r="293" spans="1:4" x14ac:dyDescent="0.25">
      <c r="A293" s="1">
        <v>24</v>
      </c>
      <c r="B293" s="26">
        <v>0.71737208366394001</v>
      </c>
      <c r="C293" s="1" t="s">
        <v>4</v>
      </c>
      <c r="D293" s="21">
        <v>76</v>
      </c>
    </row>
    <row r="294" spans="1:4" x14ac:dyDescent="0.25">
      <c r="A294" s="1">
        <v>25</v>
      </c>
      <c r="B294" s="26">
        <v>0.33370647430419897</v>
      </c>
      <c r="C294" s="1" t="s">
        <v>4</v>
      </c>
      <c r="D294" s="21">
        <v>25</v>
      </c>
    </row>
    <row r="295" spans="1:4" x14ac:dyDescent="0.25">
      <c r="A295" s="1">
        <v>25</v>
      </c>
      <c r="B295" s="26">
        <v>0.711254978179931</v>
      </c>
      <c r="C295" s="1" t="s">
        <v>4</v>
      </c>
      <c r="D295" s="21">
        <v>25</v>
      </c>
    </row>
    <row r="296" spans="1:4" x14ac:dyDescent="0.25">
      <c r="A296" s="1">
        <v>26</v>
      </c>
      <c r="B296" s="26">
        <v>7.6845402717589995E-2</v>
      </c>
      <c r="C296" s="1" t="s">
        <v>4</v>
      </c>
      <c r="D296" s="21">
        <v>116</v>
      </c>
    </row>
    <row r="297" spans="1:4" x14ac:dyDescent="0.25">
      <c r="A297" s="1">
        <v>26</v>
      </c>
      <c r="B297" s="26">
        <v>0.57549452781677302</v>
      </c>
      <c r="C297" s="1" t="s">
        <v>4</v>
      </c>
      <c r="D297" s="21">
        <v>26</v>
      </c>
    </row>
    <row r="298" spans="1:4" x14ac:dyDescent="0.25">
      <c r="A298" s="1">
        <v>29</v>
      </c>
      <c r="B298" s="26">
        <v>0.95423889160156194</v>
      </c>
      <c r="C298" s="1" t="s">
        <v>4</v>
      </c>
      <c r="D298" s="21">
        <v>29</v>
      </c>
    </row>
    <row r="299" spans="1:4" x14ac:dyDescent="0.25">
      <c r="A299" s="1">
        <v>29</v>
      </c>
      <c r="B299" s="26">
        <v>0.95574626922607397</v>
      </c>
      <c r="C299" s="1" t="s">
        <v>4</v>
      </c>
      <c r="D299" s="21">
        <v>29</v>
      </c>
    </row>
    <row r="300" spans="1:4" x14ac:dyDescent="0.25">
      <c r="A300" s="1">
        <v>30</v>
      </c>
      <c r="B300" s="26">
        <v>0.31421797275543201</v>
      </c>
      <c r="C300" s="1" t="s">
        <v>4</v>
      </c>
      <c r="D300" s="21">
        <v>0</v>
      </c>
    </row>
    <row r="301" spans="1:4" x14ac:dyDescent="0.25">
      <c r="A301" s="1">
        <v>30</v>
      </c>
      <c r="B301" s="26">
        <v>0.94428052902221704</v>
      </c>
      <c r="C301" s="1" t="s">
        <v>4</v>
      </c>
      <c r="D301" s="21">
        <v>30</v>
      </c>
    </row>
    <row r="302" spans="1:4" x14ac:dyDescent="0.25">
      <c r="A302" s="1">
        <v>30</v>
      </c>
      <c r="B302" s="26">
        <v>0.94706902503967305</v>
      </c>
      <c r="C302" s="1" t="s">
        <v>4</v>
      </c>
      <c r="D302" s="21">
        <v>30</v>
      </c>
    </row>
    <row r="303" spans="1:4" x14ac:dyDescent="0.25">
      <c r="A303" s="1">
        <v>31</v>
      </c>
      <c r="B303" s="26">
        <v>5.9066340923309001E-2</v>
      </c>
      <c r="C303" s="1" t="s">
        <v>4</v>
      </c>
      <c r="D303" s="21">
        <v>0</v>
      </c>
    </row>
    <row r="304" spans="1:4" x14ac:dyDescent="0.25">
      <c r="A304" s="1">
        <v>32</v>
      </c>
      <c r="B304" s="26">
        <v>0.75611743927001995</v>
      </c>
      <c r="C304" s="1" t="s">
        <v>4</v>
      </c>
      <c r="D304" s="21">
        <v>2</v>
      </c>
    </row>
    <row r="305" spans="1:4" x14ac:dyDescent="0.25">
      <c r="A305" s="1">
        <v>33</v>
      </c>
      <c r="B305" s="26">
        <v>0.36182901859283501</v>
      </c>
      <c r="C305" s="1" t="s">
        <v>4</v>
      </c>
      <c r="D305" s="21">
        <v>74</v>
      </c>
    </row>
    <row r="306" spans="1:4" x14ac:dyDescent="0.25">
      <c r="A306" s="1">
        <v>33</v>
      </c>
      <c r="B306" s="26">
        <v>0.36182901859283501</v>
      </c>
      <c r="C306" s="1" t="s">
        <v>4</v>
      </c>
      <c r="D306" s="21">
        <v>74</v>
      </c>
    </row>
    <row r="307" spans="1:4" x14ac:dyDescent="0.25">
      <c r="A307" s="1">
        <v>40</v>
      </c>
      <c r="B307" s="26">
        <v>0.53936831951141395</v>
      </c>
      <c r="C307" s="1" t="s">
        <v>4</v>
      </c>
      <c r="D307" s="21">
        <v>40</v>
      </c>
    </row>
    <row r="308" spans="1:4" x14ac:dyDescent="0.25">
      <c r="A308" s="1">
        <v>40</v>
      </c>
      <c r="B308" s="26">
        <v>1</v>
      </c>
      <c r="C308" s="1" t="s">
        <v>4</v>
      </c>
      <c r="D308" s="21">
        <v>40</v>
      </c>
    </row>
    <row r="309" spans="1:4" x14ac:dyDescent="0.25">
      <c r="A309" s="1">
        <v>50</v>
      </c>
      <c r="B309" s="26">
        <v>0.375820410251617</v>
      </c>
      <c r="C309" s="1" t="s">
        <v>4</v>
      </c>
      <c r="D309" s="21">
        <v>0</v>
      </c>
    </row>
    <row r="310" spans="1:4" x14ac:dyDescent="0.25">
      <c r="A310" s="1">
        <v>52</v>
      </c>
      <c r="B310" s="26">
        <v>5.7739729881286998E-2</v>
      </c>
      <c r="C310" s="1" t="s">
        <v>4</v>
      </c>
      <c r="D310" s="21">
        <v>0</v>
      </c>
    </row>
    <row r="311" spans="1:4" x14ac:dyDescent="0.25">
      <c r="A311" s="1">
        <v>52</v>
      </c>
      <c r="B311" s="26">
        <v>5.7739729881286998E-2</v>
      </c>
      <c r="C311" s="1" t="s">
        <v>4</v>
      </c>
      <c r="D311" s="21">
        <v>0</v>
      </c>
    </row>
    <row r="312" spans="1:4" x14ac:dyDescent="0.25">
      <c r="A312" s="1">
        <v>52</v>
      </c>
      <c r="B312" s="26">
        <v>5.7739729881286998E-2</v>
      </c>
      <c r="C312" s="1" t="s">
        <v>4</v>
      </c>
      <c r="D312" s="21">
        <v>0</v>
      </c>
    </row>
    <row r="313" spans="1:4" x14ac:dyDescent="0.25">
      <c r="A313" s="1">
        <v>52</v>
      </c>
      <c r="B313" s="26">
        <v>5.7739729881286998E-2</v>
      </c>
      <c r="C313" s="1" t="s">
        <v>4</v>
      </c>
      <c r="D313" s="21">
        <v>0</v>
      </c>
    </row>
    <row r="314" spans="1:4" x14ac:dyDescent="0.25">
      <c r="A314" s="1">
        <v>52</v>
      </c>
      <c r="B314" s="26">
        <v>0.28865312337875398</v>
      </c>
      <c r="C314" s="1" t="s">
        <v>4</v>
      </c>
      <c r="D314" s="21">
        <v>0</v>
      </c>
    </row>
    <row r="315" spans="1:4" x14ac:dyDescent="0.25">
      <c r="A315" s="1">
        <v>52</v>
      </c>
      <c r="B315" s="26">
        <v>0.28865312337875398</v>
      </c>
      <c r="C315" s="1" t="s">
        <v>4</v>
      </c>
      <c r="D315" s="21">
        <v>0</v>
      </c>
    </row>
    <row r="316" spans="1:4" x14ac:dyDescent="0.25">
      <c r="A316" s="1">
        <v>52</v>
      </c>
      <c r="B316" s="26">
        <v>0.96946468353271498</v>
      </c>
      <c r="C316" s="1" t="s">
        <v>4</v>
      </c>
      <c r="D316" s="21">
        <v>52</v>
      </c>
    </row>
    <row r="317" spans="1:4" x14ac:dyDescent="0.25">
      <c r="A317" s="1">
        <v>52</v>
      </c>
      <c r="B317" s="26">
        <v>1</v>
      </c>
      <c r="C317" s="1" t="s">
        <v>4</v>
      </c>
      <c r="D317" s="21">
        <v>52</v>
      </c>
    </row>
    <row r="318" spans="1:4" x14ac:dyDescent="0.25">
      <c r="A318" s="1">
        <v>54</v>
      </c>
      <c r="B318" s="26">
        <v>1</v>
      </c>
      <c r="C318" s="1" t="s">
        <v>4</v>
      </c>
      <c r="D318" s="21">
        <v>54</v>
      </c>
    </row>
    <row r="319" spans="1:4" x14ac:dyDescent="0.25">
      <c r="A319" s="1">
        <v>55</v>
      </c>
      <c r="B319" s="26">
        <v>0.29590250253677303</v>
      </c>
      <c r="C319" s="1" t="s">
        <v>4</v>
      </c>
      <c r="D319" s="21">
        <v>2</v>
      </c>
    </row>
    <row r="320" spans="1:4" x14ac:dyDescent="0.25">
      <c r="A320" s="1">
        <v>55</v>
      </c>
      <c r="B320" s="26">
        <v>0.93352708816528296</v>
      </c>
      <c r="C320" s="1" t="s">
        <v>4</v>
      </c>
      <c r="D320" s="21">
        <v>55</v>
      </c>
    </row>
    <row r="321" spans="1:4" x14ac:dyDescent="0.25">
      <c r="A321" s="1">
        <v>55</v>
      </c>
      <c r="B321" s="26">
        <v>1</v>
      </c>
      <c r="C321" s="1" t="s">
        <v>4</v>
      </c>
      <c r="D321" s="21">
        <v>55</v>
      </c>
    </row>
    <row r="322" spans="1:4" x14ac:dyDescent="0.25">
      <c r="A322" s="1">
        <v>55</v>
      </c>
      <c r="B322" s="26">
        <v>1</v>
      </c>
      <c r="C322" s="1" t="s">
        <v>4</v>
      </c>
      <c r="D322" s="21">
        <v>55</v>
      </c>
    </row>
    <row r="323" spans="1:4" x14ac:dyDescent="0.25">
      <c r="A323" s="1">
        <v>59</v>
      </c>
      <c r="B323" s="26">
        <v>0.29603397846221802</v>
      </c>
      <c r="C323" s="1" t="s">
        <v>4</v>
      </c>
      <c r="D323" s="21">
        <v>0</v>
      </c>
    </row>
    <row r="324" spans="1:4" x14ac:dyDescent="0.25">
      <c r="A324" s="1">
        <v>59</v>
      </c>
      <c r="B324" s="26">
        <v>0.29603397846221802</v>
      </c>
      <c r="C324" s="1" t="s">
        <v>4</v>
      </c>
      <c r="D324" s="21">
        <v>0</v>
      </c>
    </row>
    <row r="325" spans="1:4" x14ac:dyDescent="0.25">
      <c r="A325" s="1">
        <v>59</v>
      </c>
      <c r="B325" s="26">
        <v>1</v>
      </c>
      <c r="C325" s="1" t="s">
        <v>4</v>
      </c>
      <c r="D325" s="21">
        <v>59</v>
      </c>
    </row>
    <row r="326" spans="1:4" x14ac:dyDescent="0.25">
      <c r="A326" s="1">
        <v>60</v>
      </c>
      <c r="B326" s="26">
        <v>0.37904511690139697</v>
      </c>
      <c r="C326" s="1" t="s">
        <v>4</v>
      </c>
      <c r="D326" s="21">
        <v>86</v>
      </c>
    </row>
    <row r="327" spans="1:4" x14ac:dyDescent="0.25">
      <c r="A327" s="1">
        <v>60</v>
      </c>
      <c r="B327" s="26">
        <v>0.45648012161254897</v>
      </c>
      <c r="C327" s="1" t="s">
        <v>4</v>
      </c>
      <c r="D327" s="21">
        <v>60</v>
      </c>
    </row>
    <row r="328" spans="1:4" x14ac:dyDescent="0.25">
      <c r="A328" s="1">
        <v>60</v>
      </c>
      <c r="B328" s="26">
        <v>0.48484365940093999</v>
      </c>
      <c r="C328" s="1" t="s">
        <v>4</v>
      </c>
      <c r="D328" s="21">
        <v>86</v>
      </c>
    </row>
    <row r="329" spans="1:4" x14ac:dyDescent="0.25">
      <c r="A329" s="1">
        <v>60</v>
      </c>
      <c r="B329" s="26">
        <v>0.55180208683013898</v>
      </c>
      <c r="C329" s="1" t="s">
        <v>4</v>
      </c>
      <c r="D329" s="21">
        <v>60</v>
      </c>
    </row>
    <row r="330" spans="1:4" x14ac:dyDescent="0.25">
      <c r="A330" s="1">
        <v>60</v>
      </c>
      <c r="B330" s="26">
        <v>0.58247208595275901</v>
      </c>
      <c r="C330" s="1" t="s">
        <v>4</v>
      </c>
      <c r="D330" s="21">
        <v>60</v>
      </c>
    </row>
    <row r="331" spans="1:4" x14ac:dyDescent="0.25">
      <c r="A331" s="1">
        <v>60</v>
      </c>
      <c r="B331" s="26">
        <v>0.59293572902679503</v>
      </c>
      <c r="C331" s="1" t="s">
        <v>4</v>
      </c>
      <c r="D331" s="21">
        <v>60</v>
      </c>
    </row>
    <row r="332" spans="1:4" x14ac:dyDescent="0.25">
      <c r="A332" s="1">
        <v>60</v>
      </c>
      <c r="B332" s="26">
        <v>0.59652962684631305</v>
      </c>
      <c r="C332" s="1" t="s">
        <v>4</v>
      </c>
      <c r="D332" s="21">
        <v>60</v>
      </c>
    </row>
    <row r="333" spans="1:4" x14ac:dyDescent="0.25">
      <c r="A333" s="1">
        <v>60</v>
      </c>
      <c r="B333" s="26">
        <v>0.77969913482665998</v>
      </c>
      <c r="C333" s="1" t="s">
        <v>4</v>
      </c>
      <c r="D333" s="21">
        <v>60</v>
      </c>
    </row>
    <row r="334" spans="1:4" x14ac:dyDescent="0.25">
      <c r="A334" s="1">
        <v>60</v>
      </c>
      <c r="B334" s="26">
        <v>0.88138446807861304</v>
      </c>
      <c r="C334" s="1" t="s">
        <v>4</v>
      </c>
      <c r="D334" s="21">
        <v>60</v>
      </c>
    </row>
    <row r="335" spans="1:4" x14ac:dyDescent="0.25">
      <c r="A335" s="1">
        <v>60</v>
      </c>
      <c r="B335" s="26">
        <v>0.92585601806640505</v>
      </c>
      <c r="C335" s="1" t="s">
        <v>4</v>
      </c>
      <c r="D335" s="21">
        <v>60</v>
      </c>
    </row>
    <row r="336" spans="1:4" x14ac:dyDescent="0.25">
      <c r="A336" s="1">
        <v>62</v>
      </c>
      <c r="B336" s="26">
        <v>0.835991954803467</v>
      </c>
      <c r="C336" s="1" t="s">
        <v>4</v>
      </c>
      <c r="D336" s="21">
        <v>62</v>
      </c>
    </row>
    <row r="337" spans="1:4" x14ac:dyDescent="0.25">
      <c r="A337" s="1">
        <v>63</v>
      </c>
      <c r="B337" s="26">
        <v>0.91769261360168497</v>
      </c>
      <c r="C337" s="1" t="s">
        <v>4</v>
      </c>
      <c r="D337" s="21">
        <v>63</v>
      </c>
    </row>
    <row r="338" spans="1:4" x14ac:dyDescent="0.25">
      <c r="A338" s="1">
        <v>70</v>
      </c>
      <c r="B338" s="26">
        <v>0.80330519676208501</v>
      </c>
      <c r="C338" s="1" t="s">
        <v>4</v>
      </c>
      <c r="D338" s="21">
        <v>70</v>
      </c>
    </row>
    <row r="339" spans="1:4" x14ac:dyDescent="0.25">
      <c r="A339" s="1">
        <v>74</v>
      </c>
      <c r="B339" s="26">
        <v>5.6703313589095902E-2</v>
      </c>
      <c r="C339" s="1" t="s">
        <v>4</v>
      </c>
      <c r="D339" s="21">
        <v>74</v>
      </c>
    </row>
    <row r="340" spans="1:4" x14ac:dyDescent="0.25">
      <c r="A340" s="1">
        <v>74</v>
      </c>
      <c r="B340" s="26">
        <v>0.35106160640716599</v>
      </c>
      <c r="C340" s="1" t="s">
        <v>4</v>
      </c>
      <c r="D340" s="21">
        <v>74</v>
      </c>
    </row>
    <row r="341" spans="1:4" x14ac:dyDescent="0.25">
      <c r="A341" s="1">
        <v>74</v>
      </c>
      <c r="B341" s="26">
        <v>0.36014050245284901</v>
      </c>
      <c r="C341" s="1" t="s">
        <v>4</v>
      </c>
      <c r="D341" s="21">
        <v>74</v>
      </c>
    </row>
    <row r="342" spans="1:4" x14ac:dyDescent="0.25">
      <c r="A342" s="1">
        <v>74</v>
      </c>
      <c r="B342" s="26">
        <v>0.40040481090545699</v>
      </c>
      <c r="C342" s="1" t="s">
        <v>4</v>
      </c>
      <c r="D342" s="21">
        <v>74</v>
      </c>
    </row>
    <row r="343" spans="1:4" x14ac:dyDescent="0.25">
      <c r="A343" s="1">
        <v>74</v>
      </c>
      <c r="B343" s="26">
        <v>0.40722484588623098</v>
      </c>
      <c r="C343" s="1" t="s">
        <v>4</v>
      </c>
      <c r="D343" s="21">
        <v>74</v>
      </c>
    </row>
    <row r="344" spans="1:4" x14ac:dyDescent="0.25">
      <c r="A344" s="1">
        <v>74</v>
      </c>
      <c r="B344" s="26">
        <v>0.42613627910613999</v>
      </c>
      <c r="C344" s="1" t="s">
        <v>4</v>
      </c>
      <c r="D344" s="21">
        <v>74</v>
      </c>
    </row>
    <row r="345" spans="1:4" x14ac:dyDescent="0.25">
      <c r="A345" s="1">
        <v>74</v>
      </c>
      <c r="B345" s="26">
        <v>0.42613627910613999</v>
      </c>
      <c r="C345" s="1" t="s">
        <v>4</v>
      </c>
      <c r="D345" s="21">
        <v>74</v>
      </c>
    </row>
    <row r="346" spans="1:4" x14ac:dyDescent="0.25">
      <c r="A346" s="1">
        <v>74</v>
      </c>
      <c r="B346" s="26">
        <v>0.42613627910613999</v>
      </c>
      <c r="C346" s="1" t="s">
        <v>4</v>
      </c>
      <c r="D346" s="21">
        <v>74</v>
      </c>
    </row>
    <row r="347" spans="1:4" x14ac:dyDescent="0.25">
      <c r="A347" s="1">
        <v>74</v>
      </c>
      <c r="B347" s="26">
        <v>0.42613627910613999</v>
      </c>
      <c r="C347" s="1" t="s">
        <v>4</v>
      </c>
      <c r="D347" s="21">
        <v>74</v>
      </c>
    </row>
    <row r="348" spans="1:4" x14ac:dyDescent="0.25">
      <c r="A348" s="1">
        <v>74</v>
      </c>
      <c r="B348" s="26">
        <v>0.43242065906524702</v>
      </c>
      <c r="C348" s="1" t="s">
        <v>4</v>
      </c>
      <c r="D348" s="21">
        <v>74</v>
      </c>
    </row>
    <row r="349" spans="1:4" x14ac:dyDescent="0.25">
      <c r="A349" s="1">
        <v>74</v>
      </c>
      <c r="B349" s="26">
        <v>0.43242065906524702</v>
      </c>
      <c r="C349" s="1" t="s">
        <v>4</v>
      </c>
      <c r="D349" s="21">
        <v>74</v>
      </c>
    </row>
    <row r="350" spans="1:4" x14ac:dyDescent="0.25">
      <c r="A350" s="1">
        <v>74</v>
      </c>
      <c r="B350" s="26">
        <v>0.43242065906524702</v>
      </c>
      <c r="C350" s="1" t="s">
        <v>4</v>
      </c>
      <c r="D350" s="21">
        <v>74</v>
      </c>
    </row>
    <row r="351" spans="1:4" x14ac:dyDescent="0.25">
      <c r="A351" s="1">
        <v>74</v>
      </c>
      <c r="B351" s="26">
        <v>0.43242065906524702</v>
      </c>
      <c r="C351" s="1" t="s">
        <v>4</v>
      </c>
      <c r="D351" s="21">
        <v>74</v>
      </c>
    </row>
    <row r="352" spans="1:4" x14ac:dyDescent="0.25">
      <c r="A352" s="1">
        <v>74</v>
      </c>
      <c r="B352" s="26">
        <v>0.43242065906524702</v>
      </c>
      <c r="C352" s="1" t="s">
        <v>4</v>
      </c>
      <c r="D352" s="21">
        <v>74</v>
      </c>
    </row>
    <row r="353" spans="1:4" x14ac:dyDescent="0.25">
      <c r="A353" s="1">
        <v>74</v>
      </c>
      <c r="B353" s="26">
        <v>0.43242065906524702</v>
      </c>
      <c r="C353" s="1" t="s">
        <v>4</v>
      </c>
      <c r="D353" s="21">
        <v>74</v>
      </c>
    </row>
    <row r="354" spans="1:4" x14ac:dyDescent="0.25">
      <c r="A354" s="1">
        <v>74</v>
      </c>
      <c r="B354" s="26">
        <v>0.43242065906524702</v>
      </c>
      <c r="C354" s="1" t="s">
        <v>4</v>
      </c>
      <c r="D354" s="21">
        <v>74</v>
      </c>
    </row>
    <row r="355" spans="1:4" x14ac:dyDescent="0.25">
      <c r="A355" s="1">
        <v>74</v>
      </c>
      <c r="B355" s="26">
        <v>0.43242065906524702</v>
      </c>
      <c r="C355" s="1" t="s">
        <v>4</v>
      </c>
      <c r="D355" s="21">
        <v>74</v>
      </c>
    </row>
    <row r="356" spans="1:4" x14ac:dyDescent="0.25">
      <c r="A356" s="1">
        <v>74</v>
      </c>
      <c r="B356" s="26">
        <v>0.43242065906524702</v>
      </c>
      <c r="C356" s="1" t="s">
        <v>4</v>
      </c>
      <c r="D356" s="21">
        <v>74</v>
      </c>
    </row>
    <row r="357" spans="1:4" x14ac:dyDescent="0.25">
      <c r="A357" s="1">
        <v>74</v>
      </c>
      <c r="B357" s="26">
        <v>0.441559171676635</v>
      </c>
      <c r="C357" s="1" t="s">
        <v>4</v>
      </c>
      <c r="D357" s="21">
        <v>74</v>
      </c>
    </row>
    <row r="358" spans="1:4" x14ac:dyDescent="0.25">
      <c r="A358" s="1">
        <v>74</v>
      </c>
      <c r="B358" s="26">
        <v>0.441559171676635</v>
      </c>
      <c r="C358" s="1" t="s">
        <v>4</v>
      </c>
      <c r="D358" s="21">
        <v>74</v>
      </c>
    </row>
    <row r="359" spans="1:4" x14ac:dyDescent="0.25">
      <c r="A359" s="1">
        <v>74</v>
      </c>
      <c r="B359" s="26">
        <v>0.441559171676635</v>
      </c>
      <c r="C359" s="1" t="s">
        <v>4</v>
      </c>
      <c r="D359" s="21">
        <v>74</v>
      </c>
    </row>
    <row r="360" spans="1:4" x14ac:dyDescent="0.25">
      <c r="A360" s="1">
        <v>74</v>
      </c>
      <c r="B360" s="26">
        <v>0.441559171676635</v>
      </c>
      <c r="C360" s="1" t="s">
        <v>4</v>
      </c>
      <c r="D360" s="21">
        <v>74</v>
      </c>
    </row>
    <row r="361" spans="1:4" x14ac:dyDescent="0.25">
      <c r="A361" s="1">
        <v>74</v>
      </c>
      <c r="B361" s="26">
        <v>0.49638533592224099</v>
      </c>
      <c r="C361" s="1" t="s">
        <v>4</v>
      </c>
      <c r="D361" s="21">
        <v>74</v>
      </c>
    </row>
    <row r="362" spans="1:4" x14ac:dyDescent="0.25">
      <c r="A362" s="1">
        <v>74</v>
      </c>
      <c r="B362" s="26">
        <v>0.50358920097351101</v>
      </c>
      <c r="C362" s="1" t="s">
        <v>4</v>
      </c>
      <c r="D362" s="21">
        <v>74</v>
      </c>
    </row>
    <row r="363" spans="1:4" x14ac:dyDescent="0.25">
      <c r="A363" s="1">
        <v>74</v>
      </c>
      <c r="B363" s="26">
        <v>0.50701766014099103</v>
      </c>
      <c r="C363" s="1" t="s">
        <v>4</v>
      </c>
      <c r="D363" s="21">
        <v>74</v>
      </c>
    </row>
    <row r="364" spans="1:4" x14ac:dyDescent="0.25">
      <c r="A364" s="1">
        <v>74</v>
      </c>
      <c r="B364" s="26">
        <v>0.52184424400329599</v>
      </c>
      <c r="C364" s="1" t="s">
        <v>4</v>
      </c>
      <c r="D364" s="21">
        <v>74</v>
      </c>
    </row>
    <row r="365" spans="1:4" x14ac:dyDescent="0.25">
      <c r="A365" s="1">
        <v>76</v>
      </c>
      <c r="B365" s="26">
        <v>0.93337984085082903</v>
      </c>
      <c r="C365" s="1" t="s">
        <v>4</v>
      </c>
      <c r="D365" s="21">
        <v>76</v>
      </c>
    </row>
    <row r="366" spans="1:4" x14ac:dyDescent="0.25">
      <c r="A366" s="1">
        <v>77</v>
      </c>
      <c r="B366" s="26">
        <v>0.124743785858154</v>
      </c>
      <c r="C366" s="1" t="s">
        <v>4</v>
      </c>
      <c r="D366" s="21">
        <v>0</v>
      </c>
    </row>
    <row r="367" spans="1:4" x14ac:dyDescent="0.25">
      <c r="A367" s="1">
        <v>77</v>
      </c>
      <c r="B367" s="26">
        <v>0.49312989711761401</v>
      </c>
      <c r="C367" s="1" t="s">
        <v>4</v>
      </c>
      <c r="D367" s="21">
        <v>77</v>
      </c>
    </row>
    <row r="368" spans="1:4" x14ac:dyDescent="0.25">
      <c r="A368" s="1">
        <v>77</v>
      </c>
      <c r="B368" s="26">
        <v>0.59709281921386703</v>
      </c>
      <c r="C368" s="1" t="s">
        <v>4</v>
      </c>
      <c r="D368" s="21">
        <v>77</v>
      </c>
    </row>
    <row r="369" spans="1:4" x14ac:dyDescent="0.25">
      <c r="A369" s="1">
        <v>77</v>
      </c>
      <c r="B369" s="26">
        <v>0.87055859565734905</v>
      </c>
      <c r="C369" s="1" t="s">
        <v>4</v>
      </c>
      <c r="D369" s="21">
        <v>77</v>
      </c>
    </row>
    <row r="370" spans="1:4" x14ac:dyDescent="0.25">
      <c r="A370" s="1">
        <v>77</v>
      </c>
      <c r="B370" s="26">
        <v>0.93207736015319798</v>
      </c>
      <c r="C370" s="1" t="s">
        <v>4</v>
      </c>
      <c r="D370" s="21">
        <v>77</v>
      </c>
    </row>
    <row r="371" spans="1:4" x14ac:dyDescent="0.25">
      <c r="A371" s="1">
        <v>77</v>
      </c>
      <c r="B371" s="26">
        <v>1</v>
      </c>
      <c r="C371" s="1" t="s">
        <v>4</v>
      </c>
      <c r="D371" s="21">
        <v>77</v>
      </c>
    </row>
    <row r="372" spans="1:4" x14ac:dyDescent="0.25">
      <c r="A372" s="1">
        <v>77</v>
      </c>
      <c r="B372" s="26">
        <v>1</v>
      </c>
      <c r="C372" s="1" t="s">
        <v>4</v>
      </c>
      <c r="D372" s="21">
        <v>77</v>
      </c>
    </row>
    <row r="373" spans="1:4" x14ac:dyDescent="0.25">
      <c r="A373" s="1">
        <v>78</v>
      </c>
      <c r="B373" s="26">
        <v>0.52734651565551705</v>
      </c>
      <c r="C373" s="1" t="s">
        <v>4</v>
      </c>
      <c r="D373" s="21">
        <v>78</v>
      </c>
    </row>
    <row r="374" spans="1:4" x14ac:dyDescent="0.25">
      <c r="A374" s="1">
        <v>78</v>
      </c>
      <c r="B374" s="26">
        <v>0.52734651565551705</v>
      </c>
      <c r="C374" s="1" t="s">
        <v>4</v>
      </c>
      <c r="D374" s="21">
        <v>78</v>
      </c>
    </row>
    <row r="375" spans="1:4" x14ac:dyDescent="0.25">
      <c r="A375" s="1">
        <v>78</v>
      </c>
      <c r="B375" s="26">
        <v>1</v>
      </c>
      <c r="C375" s="1" t="s">
        <v>4</v>
      </c>
      <c r="D375" s="21">
        <v>78</v>
      </c>
    </row>
    <row r="376" spans="1:4" x14ac:dyDescent="0.25">
      <c r="A376" s="1">
        <v>79</v>
      </c>
      <c r="B376" s="26">
        <v>0.28063047528266899</v>
      </c>
      <c r="C376" s="1" t="s">
        <v>4</v>
      </c>
      <c r="D376" s="21">
        <v>79</v>
      </c>
    </row>
    <row r="377" spans="1:4" x14ac:dyDescent="0.25">
      <c r="A377" s="1">
        <v>79</v>
      </c>
      <c r="B377" s="26">
        <v>0.28063047528266899</v>
      </c>
      <c r="C377" s="1" t="s">
        <v>4</v>
      </c>
      <c r="D377" s="21">
        <v>79</v>
      </c>
    </row>
    <row r="378" spans="1:4" x14ac:dyDescent="0.25">
      <c r="A378" s="1">
        <v>82</v>
      </c>
      <c r="B378" s="26">
        <v>0.59307308197021502</v>
      </c>
      <c r="C378" s="1" t="s">
        <v>4</v>
      </c>
      <c r="D378" s="21">
        <v>82</v>
      </c>
    </row>
    <row r="379" spans="1:4" x14ac:dyDescent="0.25">
      <c r="A379" s="1">
        <v>82</v>
      </c>
      <c r="B379" s="26">
        <v>0.69756608009338406</v>
      </c>
      <c r="C379" s="1" t="s">
        <v>4</v>
      </c>
      <c r="D379" s="21">
        <v>82</v>
      </c>
    </row>
    <row r="380" spans="1:4" x14ac:dyDescent="0.25">
      <c r="A380" s="1">
        <v>85</v>
      </c>
      <c r="B380" s="26">
        <v>6.9530580043792894E-2</v>
      </c>
      <c r="C380" s="1" t="s">
        <v>4</v>
      </c>
      <c r="D380" s="21">
        <v>0</v>
      </c>
    </row>
    <row r="381" spans="1:4" x14ac:dyDescent="0.25">
      <c r="A381" s="1">
        <v>85</v>
      </c>
      <c r="B381" s="26">
        <v>0.39705979824066201</v>
      </c>
      <c r="C381" s="1" t="s">
        <v>4</v>
      </c>
      <c r="D381" s="21">
        <v>117</v>
      </c>
    </row>
    <row r="382" spans="1:4" x14ac:dyDescent="0.25">
      <c r="A382" s="1">
        <v>85</v>
      </c>
      <c r="B382" s="26">
        <v>0.55473427772521999</v>
      </c>
      <c r="C382" s="1" t="s">
        <v>4</v>
      </c>
      <c r="D382" s="21">
        <v>87</v>
      </c>
    </row>
    <row r="383" spans="1:4" x14ac:dyDescent="0.25">
      <c r="A383" s="1">
        <v>85</v>
      </c>
      <c r="B383" s="26">
        <v>0.61130838394164999</v>
      </c>
      <c r="C383" s="1" t="s">
        <v>4</v>
      </c>
      <c r="D383" s="21">
        <v>117</v>
      </c>
    </row>
    <row r="384" spans="1:4" x14ac:dyDescent="0.25">
      <c r="A384" s="1">
        <v>85</v>
      </c>
      <c r="B384" s="26">
        <v>0.75102591514587402</v>
      </c>
      <c r="C384" s="1" t="s">
        <v>4</v>
      </c>
      <c r="D384" s="21">
        <v>85</v>
      </c>
    </row>
    <row r="385" spans="1:4" x14ac:dyDescent="0.25">
      <c r="A385" s="1">
        <v>85</v>
      </c>
      <c r="B385" s="26">
        <v>0.924486780166626</v>
      </c>
      <c r="C385" s="1" t="s">
        <v>4</v>
      </c>
      <c r="D385" s="21">
        <v>48</v>
      </c>
    </row>
    <row r="386" spans="1:4" x14ac:dyDescent="0.25">
      <c r="A386" s="1">
        <v>85</v>
      </c>
      <c r="B386" s="26">
        <v>0.94975223541259701</v>
      </c>
      <c r="C386" s="1" t="s">
        <v>4</v>
      </c>
      <c r="D386" s="21">
        <v>85</v>
      </c>
    </row>
    <row r="387" spans="1:4" x14ac:dyDescent="0.25">
      <c r="A387" s="1">
        <v>86</v>
      </c>
      <c r="B387" s="26">
        <v>0.299775844812393</v>
      </c>
      <c r="C387" s="1" t="s">
        <v>4</v>
      </c>
      <c r="D387" s="21">
        <v>0</v>
      </c>
    </row>
    <row r="388" spans="1:4" x14ac:dyDescent="0.25">
      <c r="A388" s="1">
        <v>86</v>
      </c>
      <c r="B388" s="26">
        <v>0.299775844812393</v>
      </c>
      <c r="C388" s="1" t="s">
        <v>4</v>
      </c>
      <c r="D388" s="21">
        <v>0</v>
      </c>
    </row>
    <row r="389" spans="1:4" x14ac:dyDescent="0.25">
      <c r="A389" s="1">
        <v>87</v>
      </c>
      <c r="B389" s="26">
        <v>0.900249004364014</v>
      </c>
      <c r="C389" s="1" t="s">
        <v>4</v>
      </c>
      <c r="D389" s="21">
        <v>87</v>
      </c>
    </row>
    <row r="390" spans="1:4" x14ac:dyDescent="0.25">
      <c r="A390" s="1">
        <v>88</v>
      </c>
      <c r="B390" s="26">
        <v>0.38384612798690798</v>
      </c>
      <c r="C390" s="1" t="s">
        <v>4</v>
      </c>
      <c r="D390" s="21">
        <v>88</v>
      </c>
    </row>
    <row r="391" spans="1:4" x14ac:dyDescent="0.25">
      <c r="A391" s="1">
        <v>92</v>
      </c>
      <c r="B391" s="26">
        <v>0.86194190979003904</v>
      </c>
      <c r="C391" s="1" t="s">
        <v>4</v>
      </c>
      <c r="D391" s="21">
        <v>3</v>
      </c>
    </row>
    <row r="392" spans="1:4" x14ac:dyDescent="0.25">
      <c r="A392" s="1">
        <v>92</v>
      </c>
      <c r="B392" s="26">
        <v>0.86384086608886701</v>
      </c>
      <c r="C392" s="1" t="s">
        <v>4</v>
      </c>
      <c r="D392" s="21">
        <v>60</v>
      </c>
    </row>
    <row r="393" spans="1:4" x14ac:dyDescent="0.25">
      <c r="A393" s="1">
        <v>96</v>
      </c>
      <c r="B393" s="26">
        <v>0.33949215412139899</v>
      </c>
      <c r="C393" s="1" t="s">
        <v>4</v>
      </c>
      <c r="D393" s="21">
        <v>96</v>
      </c>
    </row>
    <row r="394" spans="1:4" x14ac:dyDescent="0.25">
      <c r="A394" s="1">
        <v>96</v>
      </c>
      <c r="B394" s="26">
        <v>0.392529547214508</v>
      </c>
      <c r="C394" s="1" t="s">
        <v>4</v>
      </c>
      <c r="D394" s="21">
        <v>96</v>
      </c>
    </row>
    <row r="395" spans="1:4" x14ac:dyDescent="0.25">
      <c r="A395" s="1">
        <v>96</v>
      </c>
      <c r="B395" s="26">
        <v>0.392529547214508</v>
      </c>
      <c r="C395" s="1" t="s">
        <v>4</v>
      </c>
      <c r="D395" s="21">
        <v>96</v>
      </c>
    </row>
    <row r="396" spans="1:4" x14ac:dyDescent="0.25">
      <c r="A396" s="1">
        <v>96</v>
      </c>
      <c r="B396" s="26">
        <v>0.87709331512451205</v>
      </c>
      <c r="C396" s="1" t="s">
        <v>4</v>
      </c>
      <c r="D396" s="21">
        <v>96</v>
      </c>
    </row>
    <row r="397" spans="1:4" x14ac:dyDescent="0.25">
      <c r="A397" s="1">
        <v>99</v>
      </c>
      <c r="B397" s="26">
        <v>7.7053952217101998E-2</v>
      </c>
      <c r="C397" s="1" t="s">
        <v>4</v>
      </c>
      <c r="D397" s="21">
        <v>0</v>
      </c>
    </row>
    <row r="398" spans="1:4" x14ac:dyDescent="0.25">
      <c r="A398" s="1">
        <v>99</v>
      </c>
      <c r="B398" s="26">
        <v>0.50256958007812502</v>
      </c>
      <c r="C398" s="1" t="s">
        <v>4</v>
      </c>
      <c r="D398" s="21">
        <v>24</v>
      </c>
    </row>
    <row r="399" spans="1:4" x14ac:dyDescent="0.25">
      <c r="A399" s="1">
        <v>102</v>
      </c>
      <c r="B399" s="26">
        <v>0.219483703374863</v>
      </c>
      <c r="C399" s="1" t="s">
        <v>4</v>
      </c>
      <c r="D399" s="21">
        <v>102</v>
      </c>
    </row>
    <row r="400" spans="1:4" x14ac:dyDescent="0.25">
      <c r="A400" s="1">
        <v>102</v>
      </c>
      <c r="B400" s="26">
        <v>0.84979081153869596</v>
      </c>
      <c r="C400" s="1" t="s">
        <v>4</v>
      </c>
      <c r="D400" s="21">
        <v>102</v>
      </c>
    </row>
    <row r="401" spans="1:4" x14ac:dyDescent="0.25">
      <c r="A401" s="1">
        <v>103</v>
      </c>
      <c r="B401" s="26">
        <v>0.22105968743562601</v>
      </c>
      <c r="C401" s="1" t="s">
        <v>4</v>
      </c>
      <c r="D401" s="21">
        <v>26</v>
      </c>
    </row>
    <row r="402" spans="1:4" x14ac:dyDescent="0.25">
      <c r="A402" s="1">
        <v>104</v>
      </c>
      <c r="B402" s="26">
        <v>0.59772083759307904</v>
      </c>
      <c r="C402" s="1" t="s">
        <v>4</v>
      </c>
      <c r="D402" s="21">
        <v>48</v>
      </c>
    </row>
    <row r="403" spans="1:4" x14ac:dyDescent="0.25">
      <c r="A403" s="1">
        <v>104</v>
      </c>
      <c r="B403" s="26">
        <v>0.63695130348205597</v>
      </c>
      <c r="C403" s="1" t="s">
        <v>4</v>
      </c>
      <c r="D403" s="21">
        <v>3</v>
      </c>
    </row>
    <row r="404" spans="1:4" x14ac:dyDescent="0.25">
      <c r="A404" s="1">
        <v>108</v>
      </c>
      <c r="B404" s="26">
        <v>0.40509574413299598</v>
      </c>
      <c r="C404" s="1" t="s">
        <v>4</v>
      </c>
      <c r="D404" s="21">
        <v>74</v>
      </c>
    </row>
    <row r="405" spans="1:4" x14ac:dyDescent="0.25">
      <c r="A405" s="1">
        <v>108</v>
      </c>
      <c r="B405" s="26">
        <v>0.72238192558288605</v>
      </c>
      <c r="C405" s="1" t="s">
        <v>4</v>
      </c>
      <c r="D405" s="21">
        <v>108</v>
      </c>
    </row>
    <row r="406" spans="1:4" x14ac:dyDescent="0.25">
      <c r="A406" s="1">
        <v>108</v>
      </c>
      <c r="B406" s="26">
        <v>0.81821236610412595</v>
      </c>
      <c r="C406" s="1" t="s">
        <v>4</v>
      </c>
      <c r="D406" s="21">
        <v>108</v>
      </c>
    </row>
    <row r="407" spans="1:4" x14ac:dyDescent="0.25">
      <c r="A407" s="1">
        <v>108</v>
      </c>
      <c r="B407" s="26">
        <v>0.87952909469604501</v>
      </c>
      <c r="C407" s="1" t="s">
        <v>4</v>
      </c>
      <c r="D407" s="21">
        <v>108</v>
      </c>
    </row>
    <row r="408" spans="1:4" x14ac:dyDescent="0.25">
      <c r="A408" s="1">
        <v>109</v>
      </c>
      <c r="B408" s="26">
        <v>0.30797215700149499</v>
      </c>
      <c r="C408" s="1" t="s">
        <v>4</v>
      </c>
      <c r="D408" s="21">
        <v>0</v>
      </c>
    </row>
    <row r="409" spans="1:4" x14ac:dyDescent="0.25">
      <c r="A409" s="1">
        <v>109</v>
      </c>
      <c r="B409" s="26">
        <v>0.80607204437255897</v>
      </c>
      <c r="C409" s="1" t="s">
        <v>4</v>
      </c>
      <c r="D409" s="21">
        <v>77</v>
      </c>
    </row>
    <row r="410" spans="1:4" x14ac:dyDescent="0.25">
      <c r="A410" s="1">
        <v>110</v>
      </c>
      <c r="B410" s="26">
        <v>0.42011473178863501</v>
      </c>
      <c r="C410" s="1" t="s">
        <v>4</v>
      </c>
      <c r="D410" s="21">
        <v>0</v>
      </c>
    </row>
    <row r="411" spans="1:4" x14ac:dyDescent="0.25">
      <c r="A411" s="1">
        <v>110</v>
      </c>
      <c r="B411" s="26">
        <v>0.46360056400299099</v>
      </c>
      <c r="C411" s="1" t="s">
        <v>4</v>
      </c>
      <c r="D411" s="21">
        <v>110</v>
      </c>
    </row>
    <row r="412" spans="1:4" x14ac:dyDescent="0.25">
      <c r="A412" s="1">
        <v>110</v>
      </c>
      <c r="B412" s="26">
        <v>0.54099915027618395</v>
      </c>
      <c r="C412" s="1" t="s">
        <v>4</v>
      </c>
      <c r="D412" s="21">
        <v>110</v>
      </c>
    </row>
    <row r="413" spans="1:4" x14ac:dyDescent="0.25">
      <c r="A413" s="1">
        <v>110</v>
      </c>
      <c r="B413" s="26">
        <v>0.89055404663086002</v>
      </c>
      <c r="C413" s="1" t="s">
        <v>4</v>
      </c>
      <c r="D413" s="21">
        <v>110</v>
      </c>
    </row>
    <row r="414" spans="1:4" x14ac:dyDescent="0.25">
      <c r="A414" s="1">
        <v>112</v>
      </c>
      <c r="B414" s="26">
        <v>0.38685145378112801</v>
      </c>
      <c r="C414" s="1" t="s">
        <v>4</v>
      </c>
      <c r="D414" s="21">
        <v>2</v>
      </c>
    </row>
    <row r="415" spans="1:4" x14ac:dyDescent="0.25">
      <c r="A415" s="1">
        <v>112</v>
      </c>
      <c r="B415" s="26">
        <v>0.83759365081787096</v>
      </c>
      <c r="C415" s="1" t="s">
        <v>4</v>
      </c>
      <c r="D415" s="21">
        <v>112</v>
      </c>
    </row>
    <row r="416" spans="1:4" x14ac:dyDescent="0.25">
      <c r="A416" s="1">
        <v>115</v>
      </c>
      <c r="B416" s="26">
        <v>0.84206190109252899</v>
      </c>
      <c r="C416" s="1" t="s">
        <v>4</v>
      </c>
      <c r="D416" s="21">
        <v>115</v>
      </c>
    </row>
    <row r="417" spans="1:4" x14ac:dyDescent="0.25">
      <c r="A417" s="1">
        <v>116</v>
      </c>
      <c r="B417" s="26">
        <v>0.60033779144287003</v>
      </c>
      <c r="C417" s="1" t="s">
        <v>4</v>
      </c>
      <c r="D417" s="21">
        <v>116</v>
      </c>
    </row>
    <row r="418" spans="1:4" x14ac:dyDescent="0.25">
      <c r="A418" s="1">
        <v>2</v>
      </c>
      <c r="B418" s="26">
        <v>4.3857731457191997E-2</v>
      </c>
      <c r="C418" s="1" t="s">
        <v>4</v>
      </c>
      <c r="D418" s="21">
        <v>74</v>
      </c>
    </row>
    <row r="419" spans="1:4" x14ac:dyDescent="0.25">
      <c r="A419" s="1">
        <v>2</v>
      </c>
      <c r="B419" s="26">
        <v>0.39638472795486501</v>
      </c>
      <c r="C419" s="1" t="s">
        <v>4</v>
      </c>
      <c r="D419" s="21">
        <v>2</v>
      </c>
    </row>
    <row r="420" spans="1:4" x14ac:dyDescent="0.25">
      <c r="A420" s="1">
        <v>2</v>
      </c>
      <c r="B420" s="26">
        <v>0.47508320808410698</v>
      </c>
      <c r="C420" s="1" t="s">
        <v>4</v>
      </c>
      <c r="D420" s="21">
        <v>40</v>
      </c>
    </row>
    <row r="421" spans="1:4" x14ac:dyDescent="0.25">
      <c r="A421" s="1">
        <v>2</v>
      </c>
      <c r="B421" s="26">
        <v>0.56969568729400599</v>
      </c>
      <c r="C421" s="1" t="s">
        <v>4</v>
      </c>
      <c r="D421" s="21">
        <v>2</v>
      </c>
    </row>
    <row r="422" spans="1:4" x14ac:dyDescent="0.25">
      <c r="A422" s="1">
        <v>2</v>
      </c>
      <c r="B422" s="26">
        <v>0.57234356403350795</v>
      </c>
      <c r="C422" s="1" t="s">
        <v>4</v>
      </c>
      <c r="D422" s="21">
        <v>74</v>
      </c>
    </row>
    <row r="423" spans="1:4" x14ac:dyDescent="0.25">
      <c r="A423" s="1">
        <v>2</v>
      </c>
      <c r="B423" s="26">
        <v>0.69089431762695297</v>
      </c>
      <c r="C423" s="1" t="s">
        <v>4</v>
      </c>
      <c r="D423" s="21">
        <v>2</v>
      </c>
    </row>
    <row r="424" spans="1:4" x14ac:dyDescent="0.25">
      <c r="A424" s="1">
        <v>2</v>
      </c>
      <c r="B424" s="26">
        <v>0.75949273109436</v>
      </c>
      <c r="C424" s="1" t="s">
        <v>4</v>
      </c>
      <c r="D424" s="21">
        <v>2</v>
      </c>
    </row>
    <row r="425" spans="1:4" x14ac:dyDescent="0.25">
      <c r="A425" s="1">
        <v>2</v>
      </c>
      <c r="B425" s="26">
        <v>0.76797180175781299</v>
      </c>
      <c r="C425" s="1" t="s">
        <v>4</v>
      </c>
      <c r="D425" s="21">
        <v>2</v>
      </c>
    </row>
    <row r="426" spans="1:4" x14ac:dyDescent="0.25">
      <c r="A426" s="1">
        <v>2</v>
      </c>
      <c r="B426" s="26">
        <v>0.83491039276123002</v>
      </c>
      <c r="C426" s="1" t="s">
        <v>4</v>
      </c>
      <c r="D426" s="21">
        <v>2</v>
      </c>
    </row>
    <row r="427" spans="1:4" x14ac:dyDescent="0.25">
      <c r="A427" s="1">
        <v>2</v>
      </c>
      <c r="B427" s="26">
        <v>0.83491039276123002</v>
      </c>
      <c r="C427" s="1" t="s">
        <v>4</v>
      </c>
      <c r="D427" s="21">
        <v>2</v>
      </c>
    </row>
    <row r="428" spans="1:4" x14ac:dyDescent="0.25">
      <c r="A428" s="1">
        <v>2</v>
      </c>
      <c r="B428" s="26">
        <v>0.861395740509032</v>
      </c>
      <c r="C428" s="1" t="s">
        <v>4</v>
      </c>
      <c r="D428" s="21">
        <v>2</v>
      </c>
    </row>
    <row r="429" spans="1:4" x14ac:dyDescent="0.25">
      <c r="A429" s="1">
        <v>2</v>
      </c>
      <c r="B429" s="26">
        <v>0.91048374176025404</v>
      </c>
      <c r="C429" s="1" t="s">
        <v>4</v>
      </c>
      <c r="D429" s="21">
        <v>96</v>
      </c>
    </row>
    <row r="430" spans="1:4" x14ac:dyDescent="0.25">
      <c r="A430" s="1">
        <v>2</v>
      </c>
      <c r="B430" s="26">
        <v>0.96955876350402803</v>
      </c>
      <c r="C430" s="1" t="s">
        <v>4</v>
      </c>
      <c r="D430" s="21">
        <v>2</v>
      </c>
    </row>
    <row r="431" spans="1:4" x14ac:dyDescent="0.25">
      <c r="A431" s="1">
        <v>2</v>
      </c>
      <c r="B431" s="26">
        <v>1</v>
      </c>
      <c r="C431" s="1" t="s">
        <v>4</v>
      </c>
      <c r="D431" s="21">
        <v>2</v>
      </c>
    </row>
    <row r="432" spans="1:4" x14ac:dyDescent="0.25">
      <c r="A432" s="1">
        <v>2</v>
      </c>
      <c r="B432" s="26">
        <v>1</v>
      </c>
      <c r="C432" s="1" t="s">
        <v>4</v>
      </c>
      <c r="D432" s="21">
        <v>2</v>
      </c>
    </row>
    <row r="433" spans="1:4" x14ac:dyDescent="0.25">
      <c r="A433" s="1">
        <v>3</v>
      </c>
      <c r="B433" s="26">
        <v>0.37740819454193097</v>
      </c>
      <c r="C433" s="1" t="s">
        <v>4</v>
      </c>
      <c r="D433" s="21">
        <v>0</v>
      </c>
    </row>
    <row r="434" spans="1:4" x14ac:dyDescent="0.25">
      <c r="A434" s="1">
        <v>3</v>
      </c>
      <c r="B434" s="26">
        <v>0.38931237459182699</v>
      </c>
      <c r="C434" s="1" t="s">
        <v>4</v>
      </c>
      <c r="D434" s="21">
        <v>3</v>
      </c>
    </row>
    <row r="435" spans="1:4" x14ac:dyDescent="0.25">
      <c r="A435" s="1">
        <v>3</v>
      </c>
      <c r="B435" s="26">
        <v>0.46722848415374801</v>
      </c>
      <c r="C435" s="1" t="s">
        <v>4</v>
      </c>
      <c r="D435" s="21">
        <v>19</v>
      </c>
    </row>
    <row r="436" spans="1:4" x14ac:dyDescent="0.25">
      <c r="A436" s="1">
        <v>3</v>
      </c>
      <c r="B436" s="26">
        <v>0.48488478660583501</v>
      </c>
      <c r="C436" s="1" t="s">
        <v>4</v>
      </c>
      <c r="D436" s="21">
        <v>3</v>
      </c>
    </row>
    <row r="437" spans="1:4" x14ac:dyDescent="0.25">
      <c r="A437" s="1">
        <v>3</v>
      </c>
      <c r="B437" s="26">
        <v>0.61199288368225102</v>
      </c>
      <c r="C437" s="1" t="s">
        <v>4</v>
      </c>
      <c r="D437" s="21">
        <v>85</v>
      </c>
    </row>
    <row r="438" spans="1:4" x14ac:dyDescent="0.25">
      <c r="A438" s="1">
        <v>3</v>
      </c>
      <c r="B438" s="26">
        <v>0.74295392036438002</v>
      </c>
      <c r="C438" s="1" t="s">
        <v>4</v>
      </c>
      <c r="D438" s="21">
        <v>3</v>
      </c>
    </row>
    <row r="439" spans="1:4" x14ac:dyDescent="0.25">
      <c r="A439" s="1">
        <v>3</v>
      </c>
      <c r="B439" s="26">
        <v>0.75348253250122099</v>
      </c>
      <c r="C439" s="1" t="s">
        <v>4</v>
      </c>
      <c r="D439" s="21">
        <v>3</v>
      </c>
    </row>
    <row r="440" spans="1:4" x14ac:dyDescent="0.25">
      <c r="A440" s="1">
        <v>3</v>
      </c>
      <c r="B440" s="26">
        <v>0.78249044418334901</v>
      </c>
      <c r="C440" s="1" t="s">
        <v>4</v>
      </c>
      <c r="D440" s="21">
        <v>3</v>
      </c>
    </row>
    <row r="441" spans="1:4" x14ac:dyDescent="0.25">
      <c r="A441" s="1">
        <v>3</v>
      </c>
      <c r="B441" s="26">
        <v>0.80746703147888199</v>
      </c>
      <c r="C441" s="1" t="s">
        <v>4</v>
      </c>
      <c r="D441" s="21">
        <v>0</v>
      </c>
    </row>
    <row r="442" spans="1:4" x14ac:dyDescent="0.25">
      <c r="A442" s="1">
        <v>3</v>
      </c>
      <c r="B442" s="26">
        <v>0.83910889625549201</v>
      </c>
      <c r="C442" s="1" t="s">
        <v>4</v>
      </c>
      <c r="D442" s="21">
        <v>3</v>
      </c>
    </row>
    <row r="443" spans="1:4" x14ac:dyDescent="0.25">
      <c r="A443" s="1">
        <v>3</v>
      </c>
      <c r="B443" s="26">
        <v>0.94247756004333405</v>
      </c>
      <c r="C443" s="1" t="s">
        <v>4</v>
      </c>
      <c r="D443" s="21">
        <v>3</v>
      </c>
    </row>
    <row r="444" spans="1:4" x14ac:dyDescent="0.25">
      <c r="A444" s="1">
        <v>3</v>
      </c>
      <c r="B444" s="26">
        <v>0.96727476119995004</v>
      </c>
      <c r="C444" s="1" t="s">
        <v>4</v>
      </c>
      <c r="D444" s="21">
        <v>3</v>
      </c>
    </row>
    <row r="445" spans="1:4" x14ac:dyDescent="0.25">
      <c r="A445" s="1">
        <v>3</v>
      </c>
      <c r="B445" s="26">
        <v>0.96756029129028198</v>
      </c>
      <c r="C445" s="1" t="s">
        <v>4</v>
      </c>
      <c r="D445" s="21">
        <v>3</v>
      </c>
    </row>
    <row r="446" spans="1:4" x14ac:dyDescent="0.25">
      <c r="A446" s="1">
        <v>3</v>
      </c>
      <c r="B446" s="26">
        <v>0.96817164421081503</v>
      </c>
      <c r="C446" s="1" t="s">
        <v>4</v>
      </c>
      <c r="D446" s="21">
        <v>3</v>
      </c>
    </row>
    <row r="447" spans="1:4" x14ac:dyDescent="0.25">
      <c r="A447" s="1">
        <v>3</v>
      </c>
      <c r="B447" s="26">
        <v>0.98503613471984897</v>
      </c>
      <c r="C447" s="1" t="s">
        <v>4</v>
      </c>
      <c r="D447" s="21">
        <v>3</v>
      </c>
    </row>
    <row r="448" spans="1:4" x14ac:dyDescent="0.25">
      <c r="A448" s="1">
        <v>3</v>
      </c>
      <c r="B448" s="26">
        <v>0.994500684738159</v>
      </c>
      <c r="C448" s="1" t="s">
        <v>4</v>
      </c>
      <c r="D448" s="21">
        <v>3</v>
      </c>
    </row>
    <row r="449" spans="1:4" x14ac:dyDescent="0.25">
      <c r="A449" s="1">
        <v>3</v>
      </c>
      <c r="B449" s="26">
        <v>0.99927492141723595</v>
      </c>
      <c r="C449" s="1" t="s">
        <v>4</v>
      </c>
      <c r="D449" s="21">
        <v>3</v>
      </c>
    </row>
    <row r="450" spans="1:4" x14ac:dyDescent="0.25">
      <c r="A450" s="1">
        <v>3</v>
      </c>
      <c r="B450" s="26">
        <v>1</v>
      </c>
      <c r="C450" s="1" t="s">
        <v>4</v>
      </c>
      <c r="D450" s="21">
        <v>3</v>
      </c>
    </row>
    <row r="451" spans="1:4" x14ac:dyDescent="0.25">
      <c r="A451" s="1">
        <v>4</v>
      </c>
      <c r="B451" s="26">
        <v>0.40883076190948497</v>
      </c>
      <c r="C451" s="1" t="s">
        <v>4</v>
      </c>
      <c r="D451" s="21">
        <v>112</v>
      </c>
    </row>
    <row r="452" spans="1:4" x14ac:dyDescent="0.25">
      <c r="A452" s="1">
        <v>4</v>
      </c>
      <c r="B452" s="26">
        <v>0.98950576782226596</v>
      </c>
      <c r="C452" s="1" t="s">
        <v>4</v>
      </c>
      <c r="D452" s="21">
        <v>4</v>
      </c>
    </row>
    <row r="453" spans="1:4" x14ac:dyDescent="0.25">
      <c r="A453" s="1">
        <v>4</v>
      </c>
      <c r="B453" s="26">
        <v>1</v>
      </c>
      <c r="C453" s="1" t="s">
        <v>4</v>
      </c>
      <c r="D453" s="21">
        <v>4</v>
      </c>
    </row>
    <row r="454" spans="1:4" x14ac:dyDescent="0.25">
      <c r="A454" s="1">
        <v>11</v>
      </c>
      <c r="B454" s="26">
        <v>0.338040256500244</v>
      </c>
      <c r="C454" s="1" t="s">
        <v>4</v>
      </c>
      <c r="D454" s="21">
        <v>24</v>
      </c>
    </row>
    <row r="455" spans="1:4" x14ac:dyDescent="0.25">
      <c r="A455" s="1">
        <v>12</v>
      </c>
      <c r="B455" s="26">
        <v>0.72956695556640505</v>
      </c>
      <c r="C455" s="1" t="s">
        <v>4</v>
      </c>
      <c r="D455" s="21">
        <v>12</v>
      </c>
    </row>
    <row r="456" spans="1:4" x14ac:dyDescent="0.25">
      <c r="A456" s="1">
        <v>15</v>
      </c>
      <c r="B456" s="26">
        <v>0.408992958068847</v>
      </c>
      <c r="C456" s="1" t="s">
        <v>4</v>
      </c>
      <c r="D456" s="21">
        <v>70</v>
      </c>
    </row>
    <row r="457" spans="1:4" x14ac:dyDescent="0.25">
      <c r="A457" s="1">
        <v>15</v>
      </c>
      <c r="B457" s="26">
        <v>1</v>
      </c>
      <c r="C457" s="1" t="s">
        <v>4</v>
      </c>
      <c r="D457" s="21">
        <v>15</v>
      </c>
    </row>
    <row r="458" spans="1:4" x14ac:dyDescent="0.25">
      <c r="A458" s="1">
        <v>17</v>
      </c>
      <c r="B458" s="26">
        <v>0.68996734619140598</v>
      </c>
      <c r="C458" s="1" t="s">
        <v>4</v>
      </c>
      <c r="D458" s="21">
        <v>17</v>
      </c>
    </row>
    <row r="459" spans="1:4" x14ac:dyDescent="0.25">
      <c r="A459" s="1">
        <v>17</v>
      </c>
      <c r="B459" s="26">
        <v>0.79005293846130398</v>
      </c>
      <c r="C459" s="1" t="s">
        <v>4</v>
      </c>
      <c r="D459" s="21">
        <v>17</v>
      </c>
    </row>
    <row r="460" spans="1:4" x14ac:dyDescent="0.25">
      <c r="A460" s="1">
        <v>19</v>
      </c>
      <c r="B460" s="26">
        <v>0.32892198562622099</v>
      </c>
      <c r="C460" s="1" t="s">
        <v>4</v>
      </c>
      <c r="D460" s="21">
        <v>19</v>
      </c>
    </row>
    <row r="461" spans="1:4" x14ac:dyDescent="0.25">
      <c r="A461" s="1">
        <v>19</v>
      </c>
      <c r="B461" s="26">
        <v>0.67652382850646997</v>
      </c>
      <c r="C461" s="1" t="s">
        <v>4</v>
      </c>
      <c r="D461" s="21">
        <v>74</v>
      </c>
    </row>
    <row r="462" spans="1:4" x14ac:dyDescent="0.25">
      <c r="A462" s="1">
        <v>19</v>
      </c>
      <c r="B462" s="26">
        <v>0.73542537689208998</v>
      </c>
      <c r="C462" s="1" t="s">
        <v>4</v>
      </c>
      <c r="D462" s="21">
        <v>19</v>
      </c>
    </row>
    <row r="463" spans="1:4" x14ac:dyDescent="0.25">
      <c r="A463" s="1">
        <v>22</v>
      </c>
      <c r="B463" s="26">
        <v>0.58800492286682104</v>
      </c>
      <c r="C463" s="1" t="s">
        <v>4</v>
      </c>
      <c r="D463" s="21">
        <v>22</v>
      </c>
    </row>
    <row r="464" spans="1:4" x14ac:dyDescent="0.25">
      <c r="A464" s="1">
        <v>22</v>
      </c>
      <c r="B464" s="26">
        <v>0.81279563903808505</v>
      </c>
      <c r="C464" s="1" t="s">
        <v>4</v>
      </c>
      <c r="D464" s="21">
        <v>22</v>
      </c>
    </row>
    <row r="465" spans="1:4" x14ac:dyDescent="0.25">
      <c r="A465" s="1">
        <v>25</v>
      </c>
      <c r="B465" s="26">
        <v>0.33370647430419897</v>
      </c>
      <c r="C465" s="1" t="s">
        <v>4</v>
      </c>
      <c r="D465" s="21">
        <v>25</v>
      </c>
    </row>
    <row r="466" spans="1:4" x14ac:dyDescent="0.25">
      <c r="A466" s="1">
        <v>25</v>
      </c>
      <c r="B466" s="26">
        <v>0.86960711479186903</v>
      </c>
      <c r="C466" s="1" t="s">
        <v>4</v>
      </c>
      <c r="D466" s="21">
        <v>25</v>
      </c>
    </row>
    <row r="467" spans="1:4" x14ac:dyDescent="0.25">
      <c r="A467" s="1">
        <v>29</v>
      </c>
      <c r="B467" s="26">
        <v>1</v>
      </c>
      <c r="C467" s="1" t="s">
        <v>4</v>
      </c>
      <c r="D467" s="21">
        <v>29</v>
      </c>
    </row>
    <row r="468" spans="1:4" x14ac:dyDescent="0.25">
      <c r="A468" s="1">
        <v>30</v>
      </c>
      <c r="B468" s="26">
        <v>0.94797220230102497</v>
      </c>
      <c r="C468" s="1" t="s">
        <v>4</v>
      </c>
      <c r="D468" s="21">
        <v>30</v>
      </c>
    </row>
    <row r="469" spans="1:4" x14ac:dyDescent="0.25">
      <c r="A469" s="1">
        <v>32</v>
      </c>
      <c r="B469" s="26">
        <v>0.35714598894119298</v>
      </c>
      <c r="C469" s="1" t="s">
        <v>4</v>
      </c>
      <c r="D469" s="21">
        <v>0</v>
      </c>
    </row>
    <row r="470" spans="1:4" x14ac:dyDescent="0.25">
      <c r="A470" s="1">
        <v>32</v>
      </c>
      <c r="B470" s="26">
        <v>0.35714598894119298</v>
      </c>
      <c r="C470" s="1" t="s">
        <v>4</v>
      </c>
      <c r="D470" s="21">
        <v>0</v>
      </c>
    </row>
    <row r="471" spans="1:4" x14ac:dyDescent="0.25">
      <c r="A471" s="1">
        <v>32</v>
      </c>
      <c r="B471" s="26">
        <v>0.35714598894119298</v>
      </c>
      <c r="C471" s="1" t="s">
        <v>4</v>
      </c>
      <c r="D471" s="21">
        <v>0</v>
      </c>
    </row>
    <row r="472" spans="1:4" x14ac:dyDescent="0.25">
      <c r="A472" s="1">
        <v>32</v>
      </c>
      <c r="B472" s="26">
        <v>0.35714598894119298</v>
      </c>
      <c r="C472" s="1" t="s">
        <v>4</v>
      </c>
      <c r="D472" s="21">
        <v>0</v>
      </c>
    </row>
    <row r="473" spans="1:4" x14ac:dyDescent="0.25">
      <c r="A473" s="1">
        <v>39</v>
      </c>
      <c r="B473" s="26">
        <v>0.640832471847534</v>
      </c>
      <c r="C473" s="1" t="s">
        <v>4</v>
      </c>
      <c r="D473" s="21">
        <v>39</v>
      </c>
    </row>
    <row r="474" spans="1:4" x14ac:dyDescent="0.25">
      <c r="A474" s="1">
        <v>39</v>
      </c>
      <c r="B474" s="26">
        <v>0.92104496955871595</v>
      </c>
      <c r="C474" s="1" t="s">
        <v>4</v>
      </c>
      <c r="D474" s="21">
        <v>39</v>
      </c>
    </row>
    <row r="475" spans="1:4" x14ac:dyDescent="0.25">
      <c r="A475" s="1">
        <v>40</v>
      </c>
      <c r="B475" s="26">
        <v>0.30388004779815603</v>
      </c>
      <c r="C475" s="1" t="s">
        <v>4</v>
      </c>
      <c r="D475" s="21">
        <v>40</v>
      </c>
    </row>
    <row r="476" spans="1:4" x14ac:dyDescent="0.25">
      <c r="A476" s="1">
        <v>40</v>
      </c>
      <c r="B476" s="26">
        <v>0.53936831951141395</v>
      </c>
      <c r="C476" s="1" t="s">
        <v>4</v>
      </c>
      <c r="D476" s="21">
        <v>40</v>
      </c>
    </row>
    <row r="477" spans="1:4" x14ac:dyDescent="0.25">
      <c r="A477" s="1">
        <v>40</v>
      </c>
      <c r="B477" s="26">
        <v>0.95495157241821305</v>
      </c>
      <c r="C477" s="1" t="s">
        <v>4</v>
      </c>
      <c r="D477" s="21">
        <v>40</v>
      </c>
    </row>
    <row r="478" spans="1:4" x14ac:dyDescent="0.25">
      <c r="A478" s="1">
        <v>43</v>
      </c>
      <c r="B478" s="26">
        <v>0.30759783983230599</v>
      </c>
      <c r="C478" s="1" t="s">
        <v>4</v>
      </c>
      <c r="D478" s="21">
        <v>0</v>
      </c>
    </row>
    <row r="479" spans="1:4" x14ac:dyDescent="0.25">
      <c r="A479" s="1">
        <v>43</v>
      </c>
      <c r="B479" s="26">
        <v>0.32773005962371798</v>
      </c>
      <c r="C479" s="1" t="s">
        <v>4</v>
      </c>
      <c r="D479" s="21">
        <v>19</v>
      </c>
    </row>
    <row r="480" spans="1:4" x14ac:dyDescent="0.25">
      <c r="A480" s="1">
        <v>46</v>
      </c>
      <c r="B480" s="26">
        <v>0.86277656555175797</v>
      </c>
      <c r="C480" s="1" t="s">
        <v>4</v>
      </c>
      <c r="D480" s="21">
        <v>46</v>
      </c>
    </row>
    <row r="481" spans="1:4" x14ac:dyDescent="0.25">
      <c r="A481" s="1">
        <v>48</v>
      </c>
      <c r="B481" s="26">
        <v>6.4875369071959996E-2</v>
      </c>
      <c r="C481" s="1" t="s">
        <v>4</v>
      </c>
      <c r="D481" s="21">
        <v>0</v>
      </c>
    </row>
    <row r="482" spans="1:4" x14ac:dyDescent="0.25">
      <c r="A482" s="1">
        <v>52</v>
      </c>
      <c r="B482" s="26">
        <v>5.7739729881286998E-2</v>
      </c>
      <c r="C482" s="1" t="s">
        <v>4</v>
      </c>
      <c r="D482" s="21">
        <v>0</v>
      </c>
    </row>
    <row r="483" spans="1:4" x14ac:dyDescent="0.25">
      <c r="A483" s="1">
        <v>52</v>
      </c>
      <c r="B483" s="26">
        <v>5.7739729881286998E-2</v>
      </c>
      <c r="C483" s="1" t="s">
        <v>4</v>
      </c>
      <c r="D483" s="21">
        <v>0</v>
      </c>
    </row>
    <row r="484" spans="1:4" x14ac:dyDescent="0.25">
      <c r="A484" s="1">
        <v>52</v>
      </c>
      <c r="B484" s="26">
        <v>5.7739729881286998E-2</v>
      </c>
      <c r="C484" s="1" t="s">
        <v>4</v>
      </c>
      <c r="D484" s="21">
        <v>0</v>
      </c>
    </row>
    <row r="485" spans="1:4" x14ac:dyDescent="0.25">
      <c r="A485" s="1">
        <v>52</v>
      </c>
      <c r="B485" s="26">
        <v>5.7739729881286998E-2</v>
      </c>
      <c r="C485" s="1" t="s">
        <v>4</v>
      </c>
      <c r="D485" s="21">
        <v>0</v>
      </c>
    </row>
    <row r="486" spans="1:4" x14ac:dyDescent="0.25">
      <c r="A486" s="1">
        <v>52</v>
      </c>
      <c r="B486" s="26">
        <v>0.28865312337875398</v>
      </c>
      <c r="C486" s="1" t="s">
        <v>4</v>
      </c>
      <c r="D486" s="21">
        <v>0</v>
      </c>
    </row>
    <row r="487" spans="1:4" x14ac:dyDescent="0.25">
      <c r="A487" s="1">
        <v>52</v>
      </c>
      <c r="B487" s="26">
        <v>0.32847872972488301</v>
      </c>
      <c r="C487" s="1" t="s">
        <v>4</v>
      </c>
      <c r="D487" s="21">
        <v>52</v>
      </c>
    </row>
    <row r="488" spans="1:4" x14ac:dyDescent="0.25">
      <c r="A488" s="1">
        <v>52</v>
      </c>
      <c r="B488" s="26">
        <v>0.32847872972488301</v>
      </c>
      <c r="C488" s="1" t="s">
        <v>4</v>
      </c>
      <c r="D488" s="21">
        <v>52</v>
      </c>
    </row>
    <row r="489" spans="1:4" x14ac:dyDescent="0.25">
      <c r="A489" s="1">
        <v>52</v>
      </c>
      <c r="B489" s="26">
        <v>1</v>
      </c>
      <c r="C489" s="1" t="s">
        <v>4</v>
      </c>
      <c r="D489" s="21">
        <v>52</v>
      </c>
    </row>
    <row r="490" spans="1:4" x14ac:dyDescent="0.25">
      <c r="A490" s="1">
        <v>54</v>
      </c>
      <c r="B490" s="26">
        <v>1</v>
      </c>
      <c r="C490" s="1" t="s">
        <v>4</v>
      </c>
      <c r="D490" s="21">
        <v>54</v>
      </c>
    </row>
    <row r="491" spans="1:4" x14ac:dyDescent="0.25">
      <c r="A491" s="1">
        <v>55</v>
      </c>
      <c r="B491" s="26">
        <v>0.31678239107132</v>
      </c>
      <c r="C491" s="1" t="s">
        <v>4</v>
      </c>
      <c r="D491" s="21">
        <v>3</v>
      </c>
    </row>
    <row r="492" spans="1:4" x14ac:dyDescent="0.25">
      <c r="A492" s="1">
        <v>55</v>
      </c>
      <c r="B492" s="26">
        <v>0.59239621162414602</v>
      </c>
      <c r="C492" s="1" t="s">
        <v>4</v>
      </c>
      <c r="D492" s="21">
        <v>55</v>
      </c>
    </row>
    <row r="493" spans="1:4" x14ac:dyDescent="0.25">
      <c r="A493" s="1">
        <v>55</v>
      </c>
      <c r="B493" s="26">
        <v>1</v>
      </c>
      <c r="C493" s="1" t="s">
        <v>4</v>
      </c>
      <c r="D493" s="21">
        <v>55</v>
      </c>
    </row>
    <row r="494" spans="1:4" x14ac:dyDescent="0.25">
      <c r="A494" s="1">
        <v>56</v>
      </c>
      <c r="B494" s="26">
        <v>0.88692803382873497</v>
      </c>
      <c r="C494" s="1" t="s">
        <v>4</v>
      </c>
      <c r="D494" s="21">
        <v>56</v>
      </c>
    </row>
    <row r="495" spans="1:4" x14ac:dyDescent="0.25">
      <c r="A495" s="1">
        <v>56</v>
      </c>
      <c r="B495" s="26">
        <v>0.912925004959106</v>
      </c>
      <c r="C495" s="1" t="s">
        <v>4</v>
      </c>
      <c r="D495" s="21">
        <v>56</v>
      </c>
    </row>
    <row r="496" spans="1:4" x14ac:dyDescent="0.25">
      <c r="A496" s="1">
        <v>56</v>
      </c>
      <c r="B496" s="26">
        <v>0.92665743827819702</v>
      </c>
      <c r="C496" s="1" t="s">
        <v>4</v>
      </c>
      <c r="D496" s="21">
        <v>56</v>
      </c>
    </row>
    <row r="497" spans="1:4" x14ac:dyDescent="0.25">
      <c r="A497" s="1">
        <v>59</v>
      </c>
      <c r="B497" s="26">
        <v>0.29603397846221802</v>
      </c>
      <c r="C497" s="1" t="s">
        <v>4</v>
      </c>
      <c r="D497" s="21">
        <v>0</v>
      </c>
    </row>
    <row r="498" spans="1:4" x14ac:dyDescent="0.25">
      <c r="A498" s="1">
        <v>60</v>
      </c>
      <c r="B498" s="26">
        <v>6.1325163841247997E-2</v>
      </c>
      <c r="C498" s="1" t="s">
        <v>4</v>
      </c>
      <c r="D498" s="21">
        <v>0</v>
      </c>
    </row>
    <row r="499" spans="1:4" x14ac:dyDescent="0.25">
      <c r="A499" s="1">
        <v>60</v>
      </c>
      <c r="B499" s="26">
        <v>0.49751901626586897</v>
      </c>
      <c r="C499" s="1" t="s">
        <v>4</v>
      </c>
      <c r="D499" s="21">
        <v>60</v>
      </c>
    </row>
    <row r="500" spans="1:4" x14ac:dyDescent="0.25">
      <c r="A500" s="1">
        <v>60</v>
      </c>
      <c r="B500" s="26">
        <v>0.66006679534912005</v>
      </c>
      <c r="C500" s="1" t="s">
        <v>4</v>
      </c>
      <c r="D500" s="21">
        <v>60</v>
      </c>
    </row>
    <row r="501" spans="1:4" x14ac:dyDescent="0.25">
      <c r="A501" s="1">
        <v>60</v>
      </c>
      <c r="B501" s="26">
        <v>0.66006679534912005</v>
      </c>
      <c r="C501" s="1" t="s">
        <v>4</v>
      </c>
      <c r="D501" s="21">
        <v>60</v>
      </c>
    </row>
    <row r="502" spans="1:4" x14ac:dyDescent="0.25">
      <c r="A502" s="1">
        <v>60</v>
      </c>
      <c r="B502" s="26">
        <v>0.78017449378967296</v>
      </c>
      <c r="C502" s="1" t="s">
        <v>4</v>
      </c>
      <c r="D502" s="21">
        <v>60</v>
      </c>
    </row>
    <row r="503" spans="1:4" x14ac:dyDescent="0.25">
      <c r="A503" s="1">
        <v>60</v>
      </c>
      <c r="B503" s="26">
        <v>0.94818506240844702</v>
      </c>
      <c r="C503" s="1" t="s">
        <v>4</v>
      </c>
      <c r="D503" s="21">
        <v>60</v>
      </c>
    </row>
    <row r="504" spans="1:4" x14ac:dyDescent="0.25">
      <c r="A504" s="1">
        <v>60</v>
      </c>
      <c r="B504" s="26">
        <v>0.97253775596618697</v>
      </c>
      <c r="C504" s="1" t="s">
        <v>4</v>
      </c>
      <c r="D504" s="21">
        <v>60</v>
      </c>
    </row>
    <row r="505" spans="1:4" x14ac:dyDescent="0.25">
      <c r="A505" s="1">
        <v>68</v>
      </c>
      <c r="B505" s="26">
        <v>1</v>
      </c>
      <c r="C505" s="1" t="s">
        <v>4</v>
      </c>
      <c r="D505" s="21">
        <v>68</v>
      </c>
    </row>
    <row r="506" spans="1:4" x14ac:dyDescent="0.25">
      <c r="A506" s="1">
        <v>70</v>
      </c>
      <c r="B506" s="26">
        <v>0.36882127523422198</v>
      </c>
      <c r="C506" s="1" t="s">
        <v>4</v>
      </c>
      <c r="D506" s="21">
        <v>70</v>
      </c>
    </row>
    <row r="507" spans="1:4" x14ac:dyDescent="0.25">
      <c r="A507" s="1">
        <v>70</v>
      </c>
      <c r="B507" s="26">
        <v>0.37088675498962298</v>
      </c>
      <c r="C507" s="1" t="s">
        <v>4</v>
      </c>
      <c r="D507" s="21">
        <v>70</v>
      </c>
    </row>
    <row r="508" spans="1:4" x14ac:dyDescent="0.25">
      <c r="A508" s="1">
        <v>73</v>
      </c>
      <c r="B508" s="26">
        <v>0.62816843986511195</v>
      </c>
      <c r="C508" s="1" t="s">
        <v>4</v>
      </c>
      <c r="D508" s="21">
        <v>12</v>
      </c>
    </row>
    <row r="509" spans="1:4" x14ac:dyDescent="0.25">
      <c r="A509" s="1">
        <v>73</v>
      </c>
      <c r="B509" s="26">
        <v>1</v>
      </c>
      <c r="C509" s="1" t="s">
        <v>4</v>
      </c>
      <c r="D509" s="21">
        <v>73</v>
      </c>
    </row>
    <row r="510" spans="1:4" x14ac:dyDescent="0.25">
      <c r="A510" s="1">
        <v>74</v>
      </c>
      <c r="B510" s="26">
        <v>0.32397782802581798</v>
      </c>
      <c r="C510" s="1" t="s">
        <v>4</v>
      </c>
      <c r="D510" s="21">
        <v>74</v>
      </c>
    </row>
    <row r="511" spans="1:4" x14ac:dyDescent="0.25">
      <c r="A511" s="1">
        <v>74</v>
      </c>
      <c r="B511" s="26">
        <v>0.33315531015396099</v>
      </c>
      <c r="C511" s="1" t="s">
        <v>4</v>
      </c>
      <c r="D511" s="21">
        <v>74</v>
      </c>
    </row>
    <row r="512" spans="1:4" x14ac:dyDescent="0.25">
      <c r="A512" s="1">
        <v>74</v>
      </c>
      <c r="B512" s="26">
        <v>0.377263510227202</v>
      </c>
      <c r="C512" s="1" t="s">
        <v>4</v>
      </c>
      <c r="D512" s="21">
        <v>74</v>
      </c>
    </row>
    <row r="513" spans="1:4" x14ac:dyDescent="0.25">
      <c r="A513" s="1">
        <v>74</v>
      </c>
      <c r="B513" s="26">
        <v>0.37759370803832998</v>
      </c>
      <c r="C513" s="1" t="s">
        <v>4</v>
      </c>
      <c r="D513" s="21">
        <v>74</v>
      </c>
    </row>
    <row r="514" spans="1:4" x14ac:dyDescent="0.25">
      <c r="A514" s="1">
        <v>74</v>
      </c>
      <c r="B514" s="26">
        <v>0.40040481090545699</v>
      </c>
      <c r="C514" s="1" t="s">
        <v>4</v>
      </c>
      <c r="D514" s="21">
        <v>74</v>
      </c>
    </row>
    <row r="515" spans="1:4" x14ac:dyDescent="0.25">
      <c r="A515" s="1">
        <v>74</v>
      </c>
      <c r="B515" s="26">
        <v>0.40040481090545699</v>
      </c>
      <c r="C515" s="1" t="s">
        <v>4</v>
      </c>
      <c r="D515" s="21">
        <v>74</v>
      </c>
    </row>
    <row r="516" spans="1:4" x14ac:dyDescent="0.25">
      <c r="A516" s="1">
        <v>74</v>
      </c>
      <c r="B516" s="26">
        <v>0.42613627910613999</v>
      </c>
      <c r="C516" s="1" t="s">
        <v>4</v>
      </c>
      <c r="D516" s="21">
        <v>74</v>
      </c>
    </row>
    <row r="517" spans="1:4" x14ac:dyDescent="0.25">
      <c r="A517" s="1">
        <v>74</v>
      </c>
      <c r="B517" s="26">
        <v>0.42613627910613999</v>
      </c>
      <c r="C517" s="1" t="s">
        <v>4</v>
      </c>
      <c r="D517" s="21">
        <v>74</v>
      </c>
    </row>
    <row r="518" spans="1:4" x14ac:dyDescent="0.25">
      <c r="A518" s="1">
        <v>74</v>
      </c>
      <c r="B518" s="26">
        <v>0.42613627910613999</v>
      </c>
      <c r="C518" s="1" t="s">
        <v>4</v>
      </c>
      <c r="D518" s="21">
        <v>74</v>
      </c>
    </row>
    <row r="519" spans="1:4" x14ac:dyDescent="0.25">
      <c r="A519" s="1">
        <v>74</v>
      </c>
      <c r="B519" s="26">
        <v>0.42613627910613999</v>
      </c>
      <c r="C519" s="1" t="s">
        <v>4</v>
      </c>
      <c r="D519" s="21">
        <v>74</v>
      </c>
    </row>
    <row r="520" spans="1:4" x14ac:dyDescent="0.25">
      <c r="A520" s="1">
        <v>74</v>
      </c>
      <c r="B520" s="26">
        <v>0.44371204376220702</v>
      </c>
      <c r="C520" s="1" t="s">
        <v>4</v>
      </c>
      <c r="D520" s="21">
        <v>74</v>
      </c>
    </row>
    <row r="521" spans="1:4" x14ac:dyDescent="0.25">
      <c r="A521" s="1">
        <v>74</v>
      </c>
      <c r="B521" s="26">
        <v>0.44371204376220702</v>
      </c>
      <c r="C521" s="1" t="s">
        <v>4</v>
      </c>
      <c r="D521" s="21">
        <v>74</v>
      </c>
    </row>
    <row r="522" spans="1:4" x14ac:dyDescent="0.25">
      <c r="A522" s="1">
        <v>74</v>
      </c>
      <c r="B522" s="26">
        <v>0.50701766014099103</v>
      </c>
      <c r="C522" s="1" t="s">
        <v>4</v>
      </c>
      <c r="D522" s="21">
        <v>74</v>
      </c>
    </row>
    <row r="523" spans="1:4" x14ac:dyDescent="0.25">
      <c r="A523" s="1">
        <v>76</v>
      </c>
      <c r="B523" s="26">
        <v>0.86438241004943905</v>
      </c>
      <c r="C523" s="1" t="s">
        <v>4</v>
      </c>
      <c r="D523" s="21">
        <v>76</v>
      </c>
    </row>
    <row r="524" spans="1:4" x14ac:dyDescent="0.25">
      <c r="A524" s="1">
        <v>76</v>
      </c>
      <c r="B524" s="26">
        <v>0.87978692054748497</v>
      </c>
      <c r="C524" s="1" t="s">
        <v>4</v>
      </c>
      <c r="D524" s="21">
        <v>76</v>
      </c>
    </row>
    <row r="525" spans="1:4" x14ac:dyDescent="0.25">
      <c r="A525" s="1">
        <v>76</v>
      </c>
      <c r="B525" s="26">
        <v>0.92997508049011202</v>
      </c>
      <c r="C525" s="1" t="s">
        <v>4</v>
      </c>
      <c r="D525" s="21">
        <v>76</v>
      </c>
    </row>
    <row r="526" spans="1:4" x14ac:dyDescent="0.25">
      <c r="A526" s="1">
        <v>76</v>
      </c>
      <c r="B526" s="26">
        <v>0.94318561553955005</v>
      </c>
      <c r="C526" s="1" t="s">
        <v>4</v>
      </c>
      <c r="D526" s="21">
        <v>76</v>
      </c>
    </row>
    <row r="527" spans="1:4" x14ac:dyDescent="0.25">
      <c r="A527" s="1">
        <v>76</v>
      </c>
      <c r="B527" s="26">
        <v>0.94425244331359903</v>
      </c>
      <c r="C527" s="1" t="s">
        <v>4</v>
      </c>
      <c r="D527" s="21">
        <v>76</v>
      </c>
    </row>
    <row r="528" spans="1:4" x14ac:dyDescent="0.25">
      <c r="A528" s="1">
        <v>76</v>
      </c>
      <c r="B528" s="26">
        <v>0.947070217132568</v>
      </c>
      <c r="C528" s="1" t="s">
        <v>4</v>
      </c>
      <c r="D528" s="21">
        <v>76</v>
      </c>
    </row>
    <row r="529" spans="1:4" x14ac:dyDescent="0.25">
      <c r="A529" s="1">
        <v>76</v>
      </c>
      <c r="B529" s="26">
        <v>1</v>
      </c>
      <c r="C529" s="1" t="s">
        <v>4</v>
      </c>
      <c r="D529" s="21">
        <v>76</v>
      </c>
    </row>
    <row r="530" spans="1:4" x14ac:dyDescent="0.25">
      <c r="A530" s="1">
        <v>77</v>
      </c>
      <c r="B530" s="26">
        <v>0.43005902767181398</v>
      </c>
      <c r="C530" s="1" t="s">
        <v>4</v>
      </c>
      <c r="D530" s="21">
        <v>24</v>
      </c>
    </row>
    <row r="531" spans="1:4" x14ac:dyDescent="0.25">
      <c r="A531" s="1">
        <v>77</v>
      </c>
      <c r="B531" s="26">
        <v>0.483670234680176</v>
      </c>
      <c r="C531" s="1" t="s">
        <v>4</v>
      </c>
      <c r="D531" s="21">
        <v>77</v>
      </c>
    </row>
    <row r="532" spans="1:4" x14ac:dyDescent="0.25">
      <c r="A532" s="1">
        <v>77</v>
      </c>
      <c r="B532" s="26">
        <v>0.68263549804687496</v>
      </c>
      <c r="C532" s="1" t="s">
        <v>4</v>
      </c>
      <c r="D532" s="21">
        <v>77</v>
      </c>
    </row>
    <row r="533" spans="1:4" x14ac:dyDescent="0.25">
      <c r="A533" s="1">
        <v>77</v>
      </c>
      <c r="B533" s="26">
        <v>0.769804143905639</v>
      </c>
      <c r="C533" s="1" t="s">
        <v>4</v>
      </c>
      <c r="D533" s="21">
        <v>24</v>
      </c>
    </row>
    <row r="534" spans="1:4" x14ac:dyDescent="0.25">
      <c r="A534" s="1">
        <v>77</v>
      </c>
      <c r="B534" s="26">
        <v>0.80981097221374498</v>
      </c>
      <c r="C534" s="1" t="s">
        <v>4</v>
      </c>
      <c r="D534" s="21">
        <v>77</v>
      </c>
    </row>
    <row r="535" spans="1:4" x14ac:dyDescent="0.25">
      <c r="A535" s="1">
        <v>77</v>
      </c>
      <c r="B535" s="26">
        <v>0.91491475105285702</v>
      </c>
      <c r="C535" s="1" t="s">
        <v>4</v>
      </c>
      <c r="D535" s="21">
        <v>77</v>
      </c>
    </row>
    <row r="536" spans="1:4" x14ac:dyDescent="0.25">
      <c r="A536" s="1">
        <v>77</v>
      </c>
      <c r="B536" s="26">
        <v>0.92389841079711899</v>
      </c>
      <c r="C536" s="1" t="s">
        <v>4</v>
      </c>
      <c r="D536" s="21">
        <v>77</v>
      </c>
    </row>
    <row r="537" spans="1:4" x14ac:dyDescent="0.25">
      <c r="A537" s="1">
        <v>77</v>
      </c>
      <c r="B537" s="26">
        <v>0.96759901046752905</v>
      </c>
      <c r="C537" s="1" t="s">
        <v>4</v>
      </c>
      <c r="D537" s="21">
        <v>77</v>
      </c>
    </row>
    <row r="538" spans="1:4" x14ac:dyDescent="0.25">
      <c r="A538" s="1">
        <v>79</v>
      </c>
      <c r="B538" s="26">
        <v>0.72499570846557504</v>
      </c>
      <c r="C538" s="1" t="s">
        <v>4</v>
      </c>
      <c r="D538" s="21">
        <v>79</v>
      </c>
    </row>
    <row r="539" spans="1:4" x14ac:dyDescent="0.25">
      <c r="A539" s="1">
        <v>81</v>
      </c>
      <c r="B539" s="26">
        <v>0.69559473991393905</v>
      </c>
      <c r="C539" s="1" t="s">
        <v>4</v>
      </c>
      <c r="D539" s="21">
        <v>60</v>
      </c>
    </row>
    <row r="540" spans="1:4" x14ac:dyDescent="0.25">
      <c r="A540" s="1">
        <v>81</v>
      </c>
      <c r="B540" s="26">
        <v>0.88675284385681197</v>
      </c>
      <c r="C540" s="1" t="s">
        <v>4</v>
      </c>
      <c r="D540" s="21">
        <v>81</v>
      </c>
    </row>
    <row r="541" spans="1:4" x14ac:dyDescent="0.25">
      <c r="A541" s="1">
        <v>85</v>
      </c>
      <c r="B541" s="26">
        <v>0.65596857070922898</v>
      </c>
      <c r="C541" s="1" t="s">
        <v>4</v>
      </c>
      <c r="D541" s="21">
        <v>48</v>
      </c>
    </row>
    <row r="542" spans="1:4" x14ac:dyDescent="0.25">
      <c r="A542" s="1">
        <v>85</v>
      </c>
      <c r="B542" s="26">
        <v>0.70464148521423398</v>
      </c>
      <c r="C542" s="1" t="s">
        <v>4</v>
      </c>
      <c r="D542" s="21">
        <v>85</v>
      </c>
    </row>
    <row r="543" spans="1:4" x14ac:dyDescent="0.25">
      <c r="A543" s="1">
        <v>85</v>
      </c>
      <c r="B543" s="26">
        <v>0.81411967277526898</v>
      </c>
      <c r="C543" s="1" t="s">
        <v>4</v>
      </c>
      <c r="D543" s="21">
        <v>85</v>
      </c>
    </row>
    <row r="544" spans="1:4" x14ac:dyDescent="0.25">
      <c r="A544" s="1">
        <v>88</v>
      </c>
      <c r="B544" s="26">
        <v>0.67534618377685596</v>
      </c>
      <c r="C544" s="1" t="s">
        <v>4</v>
      </c>
      <c r="D544" s="21">
        <v>88</v>
      </c>
    </row>
    <row r="545" spans="1:4" x14ac:dyDescent="0.25">
      <c r="A545" s="1">
        <v>88</v>
      </c>
      <c r="B545" s="26">
        <v>0.96338353157043499</v>
      </c>
      <c r="C545" s="1" t="s">
        <v>4</v>
      </c>
      <c r="D545" s="21">
        <v>88</v>
      </c>
    </row>
    <row r="546" spans="1:4" x14ac:dyDescent="0.25">
      <c r="A546" s="1">
        <v>90</v>
      </c>
      <c r="B546" s="26">
        <v>0.31706000566482501</v>
      </c>
      <c r="C546" s="1" t="s">
        <v>4</v>
      </c>
      <c r="D546" s="21">
        <v>90</v>
      </c>
    </row>
    <row r="547" spans="1:4" x14ac:dyDescent="0.25">
      <c r="A547" s="1">
        <v>90</v>
      </c>
      <c r="B547" s="26">
        <v>0.44070475101471002</v>
      </c>
      <c r="C547" s="1" t="s">
        <v>4</v>
      </c>
      <c r="D547" s="21">
        <v>90</v>
      </c>
    </row>
    <row r="548" spans="1:4" x14ac:dyDescent="0.25">
      <c r="A548" s="1">
        <v>92</v>
      </c>
      <c r="B548" s="26">
        <v>0.83407273292541495</v>
      </c>
      <c r="C548" s="1" t="s">
        <v>4</v>
      </c>
      <c r="D548" s="21">
        <v>4</v>
      </c>
    </row>
    <row r="549" spans="1:4" x14ac:dyDescent="0.25">
      <c r="A549" s="1">
        <v>94</v>
      </c>
      <c r="B549" s="26">
        <v>0.42691261768341099</v>
      </c>
      <c r="C549" s="1" t="s">
        <v>4</v>
      </c>
      <c r="D549" s="21">
        <v>94</v>
      </c>
    </row>
    <row r="550" spans="1:4" x14ac:dyDescent="0.25">
      <c r="A550" s="1">
        <v>95</v>
      </c>
      <c r="B550" s="26">
        <v>0.83869423866271997</v>
      </c>
      <c r="C550" s="1" t="s">
        <v>4</v>
      </c>
      <c r="D550" s="21">
        <v>115</v>
      </c>
    </row>
    <row r="551" spans="1:4" x14ac:dyDescent="0.25">
      <c r="A551" s="1">
        <v>96</v>
      </c>
      <c r="B551" s="26">
        <v>0.392529547214508</v>
      </c>
      <c r="C551" s="1" t="s">
        <v>4</v>
      </c>
      <c r="D551" s="21">
        <v>96</v>
      </c>
    </row>
    <row r="552" spans="1:4" x14ac:dyDescent="0.25">
      <c r="A552" s="1">
        <v>96</v>
      </c>
      <c r="B552" s="26">
        <v>0.633257532119751</v>
      </c>
      <c r="C552" s="1" t="s">
        <v>4</v>
      </c>
      <c r="D552" s="21">
        <v>17</v>
      </c>
    </row>
    <row r="553" spans="1:4" x14ac:dyDescent="0.25">
      <c r="A553" s="1">
        <v>96</v>
      </c>
      <c r="B553" s="26">
        <v>0.84509024620056195</v>
      </c>
      <c r="C553" s="1" t="s">
        <v>4</v>
      </c>
      <c r="D553" s="21">
        <v>96</v>
      </c>
    </row>
    <row r="554" spans="1:4" x14ac:dyDescent="0.25">
      <c r="A554" s="1">
        <v>96</v>
      </c>
      <c r="B554" s="26">
        <v>0.86162352561950695</v>
      </c>
      <c r="C554" s="1" t="s">
        <v>4</v>
      </c>
      <c r="D554" s="21">
        <v>96</v>
      </c>
    </row>
    <row r="555" spans="1:4" x14ac:dyDescent="0.25">
      <c r="A555" s="1">
        <v>96</v>
      </c>
      <c r="B555" s="26">
        <v>0.88026604652404805</v>
      </c>
      <c r="C555" s="1" t="s">
        <v>4</v>
      </c>
      <c r="D555" s="21">
        <v>17</v>
      </c>
    </row>
    <row r="556" spans="1:4" x14ac:dyDescent="0.25">
      <c r="A556" s="1">
        <v>96</v>
      </c>
      <c r="B556" s="26">
        <v>0.95647063255310005</v>
      </c>
      <c r="C556" s="1" t="s">
        <v>4</v>
      </c>
      <c r="D556" s="21">
        <v>96</v>
      </c>
    </row>
    <row r="557" spans="1:4" x14ac:dyDescent="0.25">
      <c r="A557" s="1">
        <v>98</v>
      </c>
      <c r="B557" s="26">
        <v>0.76899895668029805</v>
      </c>
      <c r="C557" s="1" t="s">
        <v>4</v>
      </c>
      <c r="D557" s="21">
        <v>98</v>
      </c>
    </row>
    <row r="558" spans="1:4" x14ac:dyDescent="0.25">
      <c r="A558" s="1">
        <v>98</v>
      </c>
      <c r="B558" s="26">
        <v>0.85047369003295903</v>
      </c>
      <c r="C558" s="1" t="s">
        <v>4</v>
      </c>
      <c r="D558" s="21">
        <v>98</v>
      </c>
    </row>
    <row r="559" spans="1:4" x14ac:dyDescent="0.25">
      <c r="A559" s="1">
        <v>99</v>
      </c>
      <c r="B559" s="26">
        <v>0.430558133125305</v>
      </c>
      <c r="C559" s="1" t="s">
        <v>4</v>
      </c>
      <c r="D559" s="21">
        <v>65</v>
      </c>
    </row>
    <row r="560" spans="1:4" x14ac:dyDescent="0.25">
      <c r="A560" s="1">
        <v>99</v>
      </c>
      <c r="B560" s="26">
        <v>0.65244026184081905</v>
      </c>
      <c r="C560" s="1" t="s">
        <v>4</v>
      </c>
      <c r="D560" s="21">
        <v>0</v>
      </c>
    </row>
    <row r="561" spans="1:4" x14ac:dyDescent="0.25">
      <c r="A561" s="1">
        <v>99</v>
      </c>
      <c r="B561" s="26">
        <v>0.655797290802002</v>
      </c>
      <c r="C561" s="1" t="s">
        <v>4</v>
      </c>
      <c r="D561" s="21">
        <v>99</v>
      </c>
    </row>
    <row r="562" spans="1:4" x14ac:dyDescent="0.25">
      <c r="A562" s="1">
        <v>99</v>
      </c>
      <c r="B562" s="26">
        <v>0.91304059028625495</v>
      </c>
      <c r="C562" s="1" t="s">
        <v>4</v>
      </c>
      <c r="D562" s="21">
        <v>99</v>
      </c>
    </row>
    <row r="563" spans="1:4" x14ac:dyDescent="0.25">
      <c r="A563" s="1">
        <v>99</v>
      </c>
      <c r="B563" s="26">
        <v>0.97805504798889198</v>
      </c>
      <c r="C563" s="1" t="s">
        <v>4</v>
      </c>
      <c r="D563" s="21">
        <v>99</v>
      </c>
    </row>
    <row r="564" spans="1:4" x14ac:dyDescent="0.25">
      <c r="A564" s="1">
        <v>100</v>
      </c>
      <c r="B564" s="26">
        <v>0.92246389389038097</v>
      </c>
      <c r="C564" s="1" t="s">
        <v>4</v>
      </c>
      <c r="D564" s="21">
        <v>100</v>
      </c>
    </row>
    <row r="565" spans="1:4" x14ac:dyDescent="0.25">
      <c r="A565" s="1">
        <v>102</v>
      </c>
      <c r="B565" s="26">
        <v>0.80578260421752901</v>
      </c>
      <c r="C565" s="1" t="s">
        <v>4</v>
      </c>
      <c r="D565" s="21">
        <v>102</v>
      </c>
    </row>
    <row r="566" spans="1:4" x14ac:dyDescent="0.25">
      <c r="A566" s="1">
        <v>103</v>
      </c>
      <c r="B566" s="26">
        <v>0.28571322560310403</v>
      </c>
      <c r="C566" s="1" t="s">
        <v>4</v>
      </c>
      <c r="D566" s="21">
        <v>2</v>
      </c>
    </row>
    <row r="567" spans="1:4" x14ac:dyDescent="0.25">
      <c r="A567" s="1">
        <v>103</v>
      </c>
      <c r="B567" s="26">
        <v>0.862359571456909</v>
      </c>
      <c r="C567" s="1" t="s">
        <v>4</v>
      </c>
      <c r="D567" s="21">
        <v>2</v>
      </c>
    </row>
    <row r="568" spans="1:4" x14ac:dyDescent="0.25">
      <c r="A568" s="1">
        <v>103</v>
      </c>
      <c r="B568" s="26">
        <v>1</v>
      </c>
      <c r="C568" s="1" t="s">
        <v>4</v>
      </c>
      <c r="D568" s="21">
        <v>103</v>
      </c>
    </row>
    <row r="569" spans="1:4" x14ac:dyDescent="0.25">
      <c r="A569" s="1">
        <v>105</v>
      </c>
      <c r="B569" s="26">
        <v>0.72971448898315405</v>
      </c>
      <c r="C569" s="1" t="s">
        <v>4</v>
      </c>
      <c r="D569" s="21">
        <v>3</v>
      </c>
    </row>
    <row r="570" spans="1:4" x14ac:dyDescent="0.25">
      <c r="A570" s="1">
        <v>108</v>
      </c>
      <c r="B570" s="26">
        <v>0.63259153366088905</v>
      </c>
      <c r="C570" s="1" t="s">
        <v>4</v>
      </c>
      <c r="D570" s="21">
        <v>108</v>
      </c>
    </row>
    <row r="571" spans="1:4" x14ac:dyDescent="0.25">
      <c r="A571" s="1">
        <v>109</v>
      </c>
      <c r="B571" s="26">
        <v>0.32318618297576801</v>
      </c>
      <c r="C571" s="1" t="s">
        <v>4</v>
      </c>
      <c r="D571" s="21">
        <v>86</v>
      </c>
    </row>
    <row r="572" spans="1:4" x14ac:dyDescent="0.25">
      <c r="A572" s="1">
        <v>110</v>
      </c>
      <c r="B572" s="26">
        <v>0.41217286586761498</v>
      </c>
      <c r="C572" s="1" t="s">
        <v>4</v>
      </c>
      <c r="D572" s="21">
        <v>110</v>
      </c>
    </row>
    <row r="573" spans="1:4" x14ac:dyDescent="0.25">
      <c r="A573" s="1">
        <v>110</v>
      </c>
      <c r="B573" s="26">
        <v>0.64197268486022996</v>
      </c>
      <c r="C573" s="1" t="s">
        <v>4</v>
      </c>
      <c r="D573" s="21">
        <v>110</v>
      </c>
    </row>
    <row r="574" spans="1:4" x14ac:dyDescent="0.25">
      <c r="A574" s="1">
        <v>110</v>
      </c>
      <c r="B574" s="26">
        <v>0.65214056968689005</v>
      </c>
      <c r="C574" s="1" t="s">
        <v>4</v>
      </c>
      <c r="D574" s="21">
        <v>99</v>
      </c>
    </row>
    <row r="575" spans="1:4" x14ac:dyDescent="0.25">
      <c r="A575" s="1">
        <v>110</v>
      </c>
      <c r="B575" s="26">
        <v>0.80138120651245004</v>
      </c>
      <c r="C575" s="1" t="s">
        <v>4</v>
      </c>
      <c r="D575" s="21">
        <v>110</v>
      </c>
    </row>
    <row r="576" spans="1:4" x14ac:dyDescent="0.25">
      <c r="A576" s="1">
        <v>111</v>
      </c>
      <c r="B576" s="26">
        <v>0.34206566810607802</v>
      </c>
      <c r="C576" s="1" t="s">
        <v>4</v>
      </c>
      <c r="D576" s="21">
        <v>3</v>
      </c>
    </row>
    <row r="577" spans="1:4" x14ac:dyDescent="0.25">
      <c r="A577" s="1">
        <v>111</v>
      </c>
      <c r="B577" s="26">
        <v>0.91403450965881405</v>
      </c>
      <c r="C577" s="1" t="s">
        <v>4</v>
      </c>
      <c r="D577" s="21">
        <v>117</v>
      </c>
    </row>
    <row r="578" spans="1:4" x14ac:dyDescent="0.25">
      <c r="A578" s="1">
        <v>112</v>
      </c>
      <c r="B578" s="26">
        <v>5.8837867975234999E-2</v>
      </c>
      <c r="C578" s="1" t="s">
        <v>4</v>
      </c>
      <c r="D578" s="21">
        <v>86</v>
      </c>
    </row>
    <row r="579" spans="1:4" x14ac:dyDescent="0.25">
      <c r="A579" s="1">
        <v>112</v>
      </c>
      <c r="B579" s="26">
        <v>0.797102451324463</v>
      </c>
      <c r="C579" s="1" t="s">
        <v>4</v>
      </c>
      <c r="D579" s="21">
        <v>112</v>
      </c>
    </row>
    <row r="580" spans="1:4" x14ac:dyDescent="0.25">
      <c r="A580" s="1">
        <v>115</v>
      </c>
      <c r="B580" s="26">
        <v>0.50339300632476702</v>
      </c>
      <c r="C580" s="1" t="s">
        <v>4</v>
      </c>
      <c r="D580" s="21">
        <v>115</v>
      </c>
    </row>
    <row r="581" spans="1:4" x14ac:dyDescent="0.25">
      <c r="A581" s="1">
        <v>115</v>
      </c>
      <c r="B581" s="26">
        <v>0.63695464134216295</v>
      </c>
      <c r="C581" s="1" t="s">
        <v>4</v>
      </c>
      <c r="D581" s="21">
        <v>76</v>
      </c>
    </row>
    <row r="582" spans="1:4" x14ac:dyDescent="0.25">
      <c r="A582" s="1">
        <v>115</v>
      </c>
      <c r="B582" s="26">
        <v>0.70566334724426205</v>
      </c>
      <c r="C582" s="1" t="s">
        <v>4</v>
      </c>
      <c r="D582" s="21">
        <v>115</v>
      </c>
    </row>
    <row r="583" spans="1:4" x14ac:dyDescent="0.25">
      <c r="A583" s="1">
        <v>115</v>
      </c>
      <c r="B583" s="26">
        <v>0.92661857604980502</v>
      </c>
      <c r="C583" s="1" t="s">
        <v>4</v>
      </c>
      <c r="D583" s="21">
        <v>115</v>
      </c>
    </row>
    <row r="584" spans="1:4" x14ac:dyDescent="0.25">
      <c r="A584" s="1">
        <v>118</v>
      </c>
      <c r="B584" s="26">
        <v>0.60180215835571305</v>
      </c>
      <c r="C584" s="1" t="s">
        <v>4</v>
      </c>
      <c r="D584" s="21">
        <v>118</v>
      </c>
    </row>
    <row r="585" spans="1:4" x14ac:dyDescent="0.25">
      <c r="A585" s="1">
        <v>2</v>
      </c>
      <c r="B585" s="26">
        <v>0.44341616630554198</v>
      </c>
      <c r="C585" s="1" t="s">
        <v>4</v>
      </c>
      <c r="D585" s="21">
        <v>79</v>
      </c>
    </row>
    <row r="586" spans="1:4" x14ac:dyDescent="0.25">
      <c r="A586" s="1">
        <v>3</v>
      </c>
      <c r="B586" s="26">
        <v>0.37005568742752099</v>
      </c>
      <c r="C586" s="1" t="s">
        <v>4</v>
      </c>
      <c r="D586" s="21">
        <v>3</v>
      </c>
    </row>
    <row r="587" spans="1:4" x14ac:dyDescent="0.25">
      <c r="A587" s="1">
        <v>3</v>
      </c>
      <c r="B587" s="26">
        <v>0.617055559158325</v>
      </c>
      <c r="C587" s="1" t="s">
        <v>4</v>
      </c>
      <c r="D587" s="21">
        <v>74</v>
      </c>
    </row>
    <row r="588" spans="1:4" x14ac:dyDescent="0.25">
      <c r="A588" s="1">
        <v>3</v>
      </c>
      <c r="B588" s="26">
        <v>0.96219272613525397</v>
      </c>
      <c r="C588" s="1" t="s">
        <v>4</v>
      </c>
      <c r="D588" s="21">
        <v>3</v>
      </c>
    </row>
    <row r="589" spans="1:4" x14ac:dyDescent="0.25">
      <c r="A589" s="1">
        <v>24</v>
      </c>
      <c r="B589" s="26">
        <v>0.41269824504852198</v>
      </c>
      <c r="C589" s="1" t="s">
        <v>4</v>
      </c>
      <c r="D589" s="21">
        <v>24</v>
      </c>
    </row>
    <row r="590" spans="1:4" x14ac:dyDescent="0.25">
      <c r="A590" s="1">
        <v>52</v>
      </c>
      <c r="B590" s="26">
        <v>0.28865312337875398</v>
      </c>
      <c r="C590" s="1" t="s">
        <v>4</v>
      </c>
      <c r="D590" s="21">
        <v>0</v>
      </c>
    </row>
    <row r="591" spans="1:4" x14ac:dyDescent="0.25">
      <c r="A591" s="1">
        <v>52</v>
      </c>
      <c r="B591" s="26">
        <v>0.28865312337875398</v>
      </c>
      <c r="C591" s="1" t="s">
        <v>4</v>
      </c>
      <c r="D591" s="21">
        <v>0</v>
      </c>
    </row>
    <row r="592" spans="1:4" x14ac:dyDescent="0.25">
      <c r="A592" s="1">
        <v>60</v>
      </c>
      <c r="B592" s="26">
        <v>0.55347785949706996</v>
      </c>
      <c r="C592" s="1" t="s">
        <v>4</v>
      </c>
      <c r="D592" s="21">
        <v>60</v>
      </c>
    </row>
    <row r="593" spans="1:4" x14ac:dyDescent="0.25">
      <c r="A593" s="1">
        <v>63</v>
      </c>
      <c r="B593" s="26">
        <v>0.78727164268493699</v>
      </c>
      <c r="C593" s="1" t="s">
        <v>4</v>
      </c>
      <c r="D593" s="21">
        <v>63</v>
      </c>
    </row>
    <row r="594" spans="1:4" x14ac:dyDescent="0.25">
      <c r="A594" s="1">
        <v>65</v>
      </c>
      <c r="B594" s="26">
        <v>0.471512508392334</v>
      </c>
      <c r="C594" s="1" t="s">
        <v>4</v>
      </c>
      <c r="D594" s="21">
        <v>102</v>
      </c>
    </row>
    <row r="595" spans="1:4" x14ac:dyDescent="0.25">
      <c r="A595" s="1">
        <v>65</v>
      </c>
      <c r="B595" s="26">
        <v>0.50244188308715798</v>
      </c>
      <c r="C595" s="1" t="s">
        <v>4</v>
      </c>
      <c r="D595" s="21">
        <v>102</v>
      </c>
    </row>
    <row r="596" spans="1:4" x14ac:dyDescent="0.25">
      <c r="A596" s="1">
        <v>66</v>
      </c>
      <c r="B596" s="26">
        <v>0.24729831814765901</v>
      </c>
      <c r="C596" s="1" t="s">
        <v>4</v>
      </c>
      <c r="D596" s="21">
        <v>58</v>
      </c>
    </row>
    <row r="597" spans="1:4" x14ac:dyDescent="0.25">
      <c r="A597" s="1">
        <v>74</v>
      </c>
      <c r="B597" s="26">
        <v>0.43242065906524702</v>
      </c>
      <c r="C597" s="1" t="s">
        <v>4</v>
      </c>
      <c r="D597" s="21">
        <v>74</v>
      </c>
    </row>
    <row r="598" spans="1:4" x14ac:dyDescent="0.25">
      <c r="A598" s="1">
        <v>82</v>
      </c>
      <c r="B598" s="26">
        <v>0.59057636260986202</v>
      </c>
      <c r="C598" s="1" t="s">
        <v>4</v>
      </c>
      <c r="D598" s="21">
        <v>82</v>
      </c>
    </row>
    <row r="599" spans="1:4" x14ac:dyDescent="0.25">
      <c r="A599" s="1">
        <v>92</v>
      </c>
      <c r="B599" s="26">
        <v>0.91554303169250495</v>
      </c>
      <c r="C599" s="1" t="s">
        <v>4</v>
      </c>
      <c r="D599" s="21">
        <v>92</v>
      </c>
    </row>
    <row r="600" spans="1:4" x14ac:dyDescent="0.25">
      <c r="A600" s="1">
        <v>96</v>
      </c>
      <c r="B600" s="26">
        <v>0.334494769573211</v>
      </c>
      <c r="C600" s="1" t="s">
        <v>4</v>
      </c>
      <c r="D600" s="21">
        <v>96</v>
      </c>
    </row>
    <row r="601" spans="1:4" x14ac:dyDescent="0.25">
      <c r="A601" s="1">
        <v>99</v>
      </c>
      <c r="B601" s="26">
        <v>0.37322554588317802</v>
      </c>
      <c r="C601" s="1" t="s">
        <v>4</v>
      </c>
      <c r="D601" s="21">
        <v>22</v>
      </c>
    </row>
    <row r="602" spans="1:4" x14ac:dyDescent="0.25">
      <c r="A602" s="1">
        <v>2</v>
      </c>
      <c r="B602" s="26">
        <v>0.75244765281677295</v>
      </c>
      <c r="C602" s="1" t="s">
        <v>5</v>
      </c>
      <c r="D602" s="21">
        <v>2</v>
      </c>
    </row>
    <row r="603" spans="1:4" x14ac:dyDescent="0.25">
      <c r="A603" s="1">
        <v>24</v>
      </c>
      <c r="B603" s="26">
        <v>0.81752524375915503</v>
      </c>
      <c r="C603" s="1" t="s">
        <v>5</v>
      </c>
      <c r="D603" s="21">
        <v>24</v>
      </c>
    </row>
    <row r="604" spans="1:4" x14ac:dyDescent="0.25">
      <c r="A604" s="1">
        <v>24</v>
      </c>
      <c r="B604" s="26">
        <v>0.90914783477783201</v>
      </c>
      <c r="C604" s="1" t="s">
        <v>5</v>
      </c>
      <c r="D604" s="21">
        <v>24</v>
      </c>
    </row>
    <row r="605" spans="1:4" x14ac:dyDescent="0.25">
      <c r="A605" s="1">
        <v>25</v>
      </c>
      <c r="B605" s="26">
        <v>0.50987060070037704</v>
      </c>
      <c r="C605" s="1" t="s">
        <v>5</v>
      </c>
      <c r="D605" s="21">
        <v>25</v>
      </c>
    </row>
    <row r="606" spans="1:4" x14ac:dyDescent="0.25">
      <c r="A606" s="1">
        <v>25</v>
      </c>
      <c r="B606" s="26">
        <v>0.62969994544982899</v>
      </c>
      <c r="C606" s="1" t="s">
        <v>5</v>
      </c>
      <c r="D606" s="21">
        <v>25</v>
      </c>
    </row>
    <row r="607" spans="1:4" x14ac:dyDescent="0.25">
      <c r="A607" s="1">
        <v>25</v>
      </c>
      <c r="B607" s="26">
        <v>0.63342580795288095</v>
      </c>
      <c r="C607" s="1" t="s">
        <v>5</v>
      </c>
      <c r="D607" s="21">
        <v>25</v>
      </c>
    </row>
    <row r="608" spans="1:4" x14ac:dyDescent="0.25">
      <c r="A608" s="1">
        <v>32</v>
      </c>
      <c r="B608" s="26">
        <v>0.62122640609741198</v>
      </c>
      <c r="C608" s="1" t="s">
        <v>5</v>
      </c>
      <c r="D608" s="21">
        <v>32</v>
      </c>
    </row>
    <row r="609" spans="1:4" x14ac:dyDescent="0.25">
      <c r="A609" s="1">
        <v>55</v>
      </c>
      <c r="B609" s="26">
        <v>0.740292119979858</v>
      </c>
      <c r="C609" s="1" t="s">
        <v>5</v>
      </c>
      <c r="D609" s="21">
        <v>55</v>
      </c>
    </row>
    <row r="610" spans="1:4" x14ac:dyDescent="0.25">
      <c r="A610" s="1">
        <v>77</v>
      </c>
      <c r="B610" s="26">
        <v>0.40373358726501501</v>
      </c>
      <c r="C610" s="1" t="s">
        <v>5</v>
      </c>
      <c r="D610" s="21">
        <v>77</v>
      </c>
    </row>
    <row r="611" spans="1:4" x14ac:dyDescent="0.25">
      <c r="A611" s="1">
        <v>77</v>
      </c>
      <c r="B611" s="26">
        <v>0.41972322463989298</v>
      </c>
      <c r="C611" s="1" t="s">
        <v>5</v>
      </c>
      <c r="D611" s="21">
        <v>77</v>
      </c>
    </row>
    <row r="612" spans="1:4" x14ac:dyDescent="0.25">
      <c r="A612" s="1">
        <v>86</v>
      </c>
      <c r="B612" s="26">
        <v>0.54547848701477097</v>
      </c>
      <c r="C612" s="1" t="s">
        <v>5</v>
      </c>
      <c r="D612" s="21">
        <v>86</v>
      </c>
    </row>
    <row r="613" spans="1:4" x14ac:dyDescent="0.25">
      <c r="A613" s="1">
        <v>114</v>
      </c>
      <c r="B613" s="26">
        <v>0.48706881999969498</v>
      </c>
      <c r="C613" s="1" t="s">
        <v>5</v>
      </c>
      <c r="D613" s="21">
        <v>114</v>
      </c>
    </row>
    <row r="614" spans="1:4" x14ac:dyDescent="0.25">
      <c r="A614" s="1">
        <v>11</v>
      </c>
      <c r="B614" s="26">
        <v>0.32070208787918097</v>
      </c>
      <c r="C614" s="1" t="s">
        <v>5</v>
      </c>
      <c r="D614" s="21">
        <v>11</v>
      </c>
    </row>
    <row r="615" spans="1:4" x14ac:dyDescent="0.25">
      <c r="A615" s="1">
        <v>24</v>
      </c>
      <c r="B615" s="26">
        <v>0.28712597489357</v>
      </c>
      <c r="C615" s="1" t="s">
        <v>5</v>
      </c>
      <c r="D615" s="21">
        <v>24</v>
      </c>
    </row>
    <row r="616" spans="1:4" x14ac:dyDescent="0.25">
      <c r="A616" s="1">
        <v>60</v>
      </c>
      <c r="B616" s="26">
        <v>0.51111814975738501</v>
      </c>
      <c r="C616" s="1" t="s">
        <v>5</v>
      </c>
      <c r="D616" s="21">
        <v>60</v>
      </c>
    </row>
    <row r="617" spans="1:4" x14ac:dyDescent="0.25">
      <c r="A617" s="1">
        <v>2</v>
      </c>
      <c r="B617" s="26">
        <v>0.33116804361343299</v>
      </c>
      <c r="C617" s="1" t="s">
        <v>5</v>
      </c>
      <c r="D617" s="21">
        <v>2</v>
      </c>
    </row>
    <row r="618" spans="1:4" x14ac:dyDescent="0.25">
      <c r="A618" s="1">
        <v>3</v>
      </c>
      <c r="B618" s="26">
        <v>0.399807989597321</v>
      </c>
      <c r="C618" s="1" t="s">
        <v>5</v>
      </c>
      <c r="D618" s="21">
        <v>3</v>
      </c>
    </row>
    <row r="619" spans="1:4" x14ac:dyDescent="0.25">
      <c r="A619" s="1">
        <v>4</v>
      </c>
      <c r="B619" s="26">
        <v>0.40532650947570698</v>
      </c>
      <c r="C619" s="1" t="s">
        <v>5</v>
      </c>
      <c r="D619" s="21">
        <v>4</v>
      </c>
    </row>
    <row r="620" spans="1:4" x14ac:dyDescent="0.25">
      <c r="A620" s="1">
        <v>22</v>
      </c>
      <c r="B620" s="26">
        <v>0.32413662672042898</v>
      </c>
      <c r="C620" s="1" t="s">
        <v>5</v>
      </c>
      <c r="D620" s="21">
        <v>22</v>
      </c>
    </row>
    <row r="621" spans="1:4" x14ac:dyDescent="0.25">
      <c r="A621" s="1">
        <v>24</v>
      </c>
      <c r="B621" s="26">
        <v>0.73713288307189995</v>
      </c>
      <c r="C621" s="1" t="s">
        <v>5</v>
      </c>
      <c r="D621" s="21">
        <v>24</v>
      </c>
    </row>
    <row r="622" spans="1:4" x14ac:dyDescent="0.25">
      <c r="A622" s="1">
        <v>39</v>
      </c>
      <c r="B622" s="26">
        <v>0.81211180686950701</v>
      </c>
      <c r="C622" s="1" t="s">
        <v>5</v>
      </c>
      <c r="D622" s="21">
        <v>39</v>
      </c>
    </row>
    <row r="623" spans="1:4" x14ac:dyDescent="0.25">
      <c r="A623" s="1">
        <v>39</v>
      </c>
      <c r="B623" s="26">
        <v>0.81211180686950701</v>
      </c>
      <c r="C623" s="1" t="s">
        <v>5</v>
      </c>
      <c r="D623" s="21">
        <v>39</v>
      </c>
    </row>
    <row r="624" spans="1:4" x14ac:dyDescent="0.25">
      <c r="A624" s="1">
        <v>43</v>
      </c>
      <c r="B624" s="26">
        <v>0.72579350471496595</v>
      </c>
      <c r="C624" s="1" t="s">
        <v>5</v>
      </c>
      <c r="D624" s="21">
        <v>43</v>
      </c>
    </row>
    <row r="625" spans="1:4" x14ac:dyDescent="0.25">
      <c r="A625" s="1">
        <v>60</v>
      </c>
      <c r="B625" s="26">
        <v>0.421997737884522</v>
      </c>
      <c r="C625" s="1" t="s">
        <v>5</v>
      </c>
      <c r="D625" s="21">
        <v>60</v>
      </c>
    </row>
    <row r="626" spans="1:4" x14ac:dyDescent="0.25">
      <c r="A626" s="1">
        <v>81</v>
      </c>
      <c r="B626" s="26">
        <v>0.35140132904052601</v>
      </c>
      <c r="C626" s="1" t="s">
        <v>5</v>
      </c>
      <c r="D626" s="21">
        <v>81</v>
      </c>
    </row>
    <row r="627" spans="1:4" x14ac:dyDescent="0.25">
      <c r="A627" s="1">
        <v>96</v>
      </c>
      <c r="B627" s="26">
        <v>0.31300295591354399</v>
      </c>
      <c r="C627" s="1" t="s">
        <v>5</v>
      </c>
      <c r="D627" s="21">
        <v>96</v>
      </c>
    </row>
    <row r="628" spans="1:4" x14ac:dyDescent="0.25">
      <c r="A628" s="1">
        <v>113</v>
      </c>
      <c r="B628" s="26">
        <v>0.51673338413238501</v>
      </c>
      <c r="C628" s="1" t="s">
        <v>5</v>
      </c>
      <c r="D628" s="21">
        <v>113</v>
      </c>
    </row>
    <row r="629" spans="1:4" x14ac:dyDescent="0.25">
      <c r="A629" s="1">
        <v>2</v>
      </c>
      <c r="B629" s="26">
        <v>0.33435047864913803</v>
      </c>
      <c r="C629" s="1" t="s">
        <v>5</v>
      </c>
      <c r="D629" s="21">
        <v>2</v>
      </c>
    </row>
    <row r="630" spans="1:4" x14ac:dyDescent="0.25">
      <c r="A630" s="1">
        <v>3</v>
      </c>
      <c r="B630" s="26">
        <v>0.35103074312210097</v>
      </c>
      <c r="C630" s="1" t="s">
        <v>5</v>
      </c>
      <c r="D630" s="21">
        <v>3</v>
      </c>
    </row>
    <row r="631" spans="1:4" x14ac:dyDescent="0.25">
      <c r="A631" s="1">
        <v>3</v>
      </c>
      <c r="B631" s="26">
        <v>0.78491964340209897</v>
      </c>
      <c r="C631" s="1" t="s">
        <v>5</v>
      </c>
      <c r="D631" s="21">
        <v>3</v>
      </c>
    </row>
    <row r="632" spans="1:4" x14ac:dyDescent="0.25">
      <c r="A632" s="1">
        <v>4</v>
      </c>
      <c r="B632" s="26">
        <v>0.27851570844650297</v>
      </c>
      <c r="C632" s="1" t="s">
        <v>5</v>
      </c>
      <c r="D632" s="21">
        <v>4</v>
      </c>
    </row>
    <row r="633" spans="1:4" x14ac:dyDescent="0.25">
      <c r="A633" s="1">
        <v>4</v>
      </c>
      <c r="B633" s="26">
        <v>0.30191528797149603</v>
      </c>
      <c r="C633" s="1" t="s">
        <v>5</v>
      </c>
      <c r="D633" s="21">
        <v>4</v>
      </c>
    </row>
    <row r="634" spans="1:4" x14ac:dyDescent="0.25">
      <c r="A634" s="1">
        <v>12</v>
      </c>
      <c r="B634" s="26">
        <v>0.57475593090057397</v>
      </c>
      <c r="C634" s="1" t="s">
        <v>5</v>
      </c>
      <c r="D634" s="21">
        <v>12</v>
      </c>
    </row>
    <row r="635" spans="1:4" x14ac:dyDescent="0.25">
      <c r="A635" s="1">
        <v>17</v>
      </c>
      <c r="B635" s="26">
        <v>0.506654047966003</v>
      </c>
      <c r="C635" s="1" t="s">
        <v>5</v>
      </c>
      <c r="D635" s="21">
        <v>17</v>
      </c>
    </row>
    <row r="636" spans="1:4" x14ac:dyDescent="0.25">
      <c r="A636" s="1">
        <v>24</v>
      </c>
      <c r="B636" s="26">
        <v>0.31830645799636798</v>
      </c>
      <c r="C636" s="1" t="s">
        <v>5</v>
      </c>
      <c r="D636" s="21">
        <v>24</v>
      </c>
    </row>
    <row r="637" spans="1:4" x14ac:dyDescent="0.25">
      <c r="A637" s="1">
        <v>36</v>
      </c>
      <c r="B637" s="26">
        <v>0.28554497361183101</v>
      </c>
      <c r="C637" s="1" t="s">
        <v>5</v>
      </c>
      <c r="D637" s="21">
        <v>36</v>
      </c>
    </row>
    <row r="638" spans="1:4" x14ac:dyDescent="0.25">
      <c r="A638" s="1">
        <v>43</v>
      </c>
      <c r="B638" s="26">
        <v>0.74007515907287602</v>
      </c>
      <c r="C638" s="1" t="s">
        <v>5</v>
      </c>
      <c r="D638" s="21">
        <v>43</v>
      </c>
    </row>
    <row r="639" spans="1:4" x14ac:dyDescent="0.25">
      <c r="A639" s="1">
        <v>55</v>
      </c>
      <c r="B639" s="26">
        <v>0.67526912689208995</v>
      </c>
      <c r="C639" s="1" t="s">
        <v>5</v>
      </c>
      <c r="D639" s="21">
        <v>55</v>
      </c>
    </row>
    <row r="640" spans="1:4" x14ac:dyDescent="0.25">
      <c r="A640" s="1">
        <v>60</v>
      </c>
      <c r="B640" s="26">
        <v>0.54377229213714595</v>
      </c>
      <c r="C640" s="1" t="s">
        <v>5</v>
      </c>
      <c r="D640" s="21">
        <v>60</v>
      </c>
    </row>
    <row r="641" spans="1:4" x14ac:dyDescent="0.25">
      <c r="A641" s="1">
        <v>60</v>
      </c>
      <c r="B641" s="26">
        <v>0.55384571552276596</v>
      </c>
      <c r="C641" s="1" t="s">
        <v>5</v>
      </c>
      <c r="D641" s="21">
        <v>60</v>
      </c>
    </row>
    <row r="642" spans="1:4" x14ac:dyDescent="0.25">
      <c r="A642" s="1">
        <v>77</v>
      </c>
      <c r="B642" s="26">
        <v>0.60606493949890095</v>
      </c>
      <c r="C642" s="1" t="s">
        <v>5</v>
      </c>
      <c r="D642" s="21">
        <v>77</v>
      </c>
    </row>
    <row r="643" spans="1:4" x14ac:dyDescent="0.25">
      <c r="A643" s="1">
        <v>84</v>
      </c>
      <c r="B643" s="26">
        <v>0.561842441558838</v>
      </c>
      <c r="C643" s="1" t="s">
        <v>5</v>
      </c>
      <c r="D643" s="21">
        <v>84</v>
      </c>
    </row>
    <row r="644" spans="1:4" x14ac:dyDescent="0.25">
      <c r="A644" s="1">
        <v>96</v>
      </c>
      <c r="B644" s="26">
        <v>0.34073956012725798</v>
      </c>
      <c r="C644" s="1" t="s">
        <v>5</v>
      </c>
      <c r="D644" s="21">
        <v>96</v>
      </c>
    </row>
  </sheetData>
  <scenarios current="0" show="0" sqref="H6">
    <scenario name="a" locked="1" count="28" user="Usuario" comment="Criado por Usuario em 04/02/2021">
      <inputCells r="A2" val="2"/>
      <inputCells r="A3" val="2"/>
      <inputCells r="A4" val="2"/>
      <inputCells r="A5" val="2"/>
      <inputCells r="A6" val="2"/>
      <inputCells r="A7" val="2"/>
      <inputCells r="A8" val="2"/>
      <inputCells r="A9" val="2"/>
      <inputCells r="A10" val="2"/>
      <inputCells r="A11" val="2"/>
      <inputCells r="A12" val="2"/>
      <inputCells r="A13" val="3"/>
      <inputCells r="A14" val="3"/>
      <inputCells r="A15" val="3"/>
      <inputCells r="D2" val="0"/>
      <inputCells r="D3" val="74"/>
      <inputCells r="D4" val="74"/>
      <inputCells r="D5" val="74"/>
      <inputCells r="D6" val="2"/>
      <inputCells r="D7" val="2"/>
      <inputCells r="D8" val="2"/>
      <inputCells r="D9" val="2"/>
      <inputCells r="D10" val="2"/>
      <inputCells r="D11" val="2"/>
      <inputCells r="D12" val="2"/>
      <inputCells r="D13" val="3"/>
      <inputCells r="D14" val="108"/>
      <inputCells r="D15" val="79"/>
    </scenario>
  </scenarios>
  <mergeCells count="5">
    <mergeCell ref="N3:Q3"/>
    <mergeCell ref="G18:I18"/>
    <mergeCell ref="G25:I25"/>
    <mergeCell ref="G32:I32"/>
    <mergeCell ref="F17:M1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2021-02-03T13:02:09Z</dcterms:created>
  <dcterms:modified xsi:type="dcterms:W3CDTF">2021-02-05T18:56:59Z</dcterms:modified>
</cp:coreProperties>
</file>